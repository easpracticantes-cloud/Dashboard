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<sst xmlns="http://schemas.openxmlformats.org/spreadsheetml/2006/main" count="32" uniqueCount="32">
  <si>
    <t>PLAN 1 3D-2N</t>
  </si>
  <si>
    <t>1 pax</t>
  </si>
  <si>
    <t>2 pax</t>
  </si>
  <si>
    <t>3 pax</t>
  </si>
  <si>
    <t>4 pax</t>
  </si>
  <si>
    <t>5 pax</t>
  </si>
  <si>
    <t>6 pax</t>
  </si>
  <si>
    <t>7 pax</t>
  </si>
  <si>
    <t>8 pax</t>
  </si>
  <si>
    <t>9 pax</t>
  </si>
  <si>
    <t>10 pax</t>
  </si>
  <si>
    <t>Transporte desde el Aeropuerto de Pereira o Armenia hacia la Finca cafetera</t>
  </si>
  <si>
    <t>Programa de Cafe en Don Manolo o Fca Lugger</t>
  </si>
  <si>
    <t>2do día: Tour Filandia, salento y valle de cocora</t>
  </si>
  <si>
    <t xml:space="preserve">3er día: Translado de Aloamiento hacia la reserva la Maria y luego hacia el Aeropuerto </t>
  </si>
  <si>
    <t>Cabalgata la Maria o Cabalgata el Palomar</t>
  </si>
  <si>
    <t>Seguro de asistencia al viajero</t>
  </si>
  <si>
    <t>COSTOS Brutos</t>
  </si>
  <si>
    <t>Imprevistos y Margen de Negociacion</t>
  </si>
  <si>
    <t>Costos Netos</t>
  </si>
  <si>
    <t>Porcentaje the Incremento para Ofertar la experiencia</t>
  </si>
  <si>
    <t>Precio Sugerido de Venta 
ANTES DE IVA</t>
  </si>
  <si>
    <t>Descuentos y/o Comisiones x Venta</t>
  </si>
  <si>
    <t>PRECIO MINIMO DE LA EXPERIENCIA ANTES DE IVA</t>
  </si>
  <si>
    <t>IVA</t>
  </si>
  <si>
    <t>PRECIO DE VENTA CON IVA</t>
  </si>
  <si>
    <t>Costo del Servicio Vendido</t>
  </si>
  <si>
    <t>Utilidad Bruta del Paquete</t>
  </si>
  <si>
    <t>% Utilidad BRUTO (Utilidad/$ Venta * 100)</t>
  </si>
  <si>
    <t>Utilidad Bruta del Paquete antes de RETEFUENTE (4%)</t>
  </si>
  <si>
    <t>Este Valor Corresponde a Tus Costos Fijos Mensuales</t>
  </si>
  <si>
    <t xml:space="preserve"> Esta es la cantidad de Tour a Vender para Tener la Compañnia en Punto de Equilibrio MENSUAL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</si>
</sst>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_(&quot;$&quot;* #,##0_);_(&quot;$&quot;* \(#,##0\);_(&quot;$&quot;* &quot;-&quot;??_);_(@_)"/>
    <numFmt numFmtId="166" formatCode="&quot;$&quot;\ #,##0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24.0"/>
      <color theme="1"/>
      <name val="Calibri"/>
    </font>
    <font>
      <sz val="14.0"/>
      <color theme="1"/>
      <name val="Calibri"/>
    </font>
    <font/>
    <font>
      <b/>
      <u/>
      <sz val="11.0"/>
      <color rgb="FF8496B0"/>
      <name val="Calibri"/>
    </font>
    <font>
      <b/>
      <u/>
      <sz val="11.0"/>
      <color rgb="FF8496B0"/>
      <name val="Calibri"/>
    </font>
    <font>
      <sz val="16.0"/>
      <color theme="1"/>
      <name val="Calibri"/>
    </font>
    <font>
      <b/>
      <sz val="16.0"/>
      <color theme="1"/>
      <name val="Calibri"/>
    </font>
    <font>
      <b/>
      <sz val="16.0"/>
      <color theme="1"/>
      <name val="Ubuntu"/>
    </font>
    <font>
      <b/>
      <sz val="16.0"/>
      <color rgb="FFFFFFFF"/>
      <name val="Ubuntu"/>
    </font>
    <font>
      <b/>
      <sz val="16.0"/>
      <color rgb="FFFFFFFF"/>
      <name val="Calibri"/>
    </font>
    <font>
      <sz val="16.0"/>
      <color theme="1"/>
      <name val="Ubuntu"/>
    </font>
  </fonts>
  <fills count="11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0070C0"/>
        <bgColor rgb="FF0070C0"/>
      </patternFill>
    </fill>
    <fill>
      <patternFill patternType="solid">
        <fgColor rgb="FF66FFFF"/>
        <bgColor rgb="FF66FFFF"/>
      </patternFill>
    </fill>
    <fill>
      <patternFill patternType="solid">
        <fgColor rgb="FF00B050"/>
        <bgColor rgb="FF00B050"/>
      </patternFill>
    </fill>
    <fill>
      <patternFill patternType="solid">
        <fgColor rgb="FFC6A3E1"/>
        <bgColor rgb="FFC6A3E1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4" numFmtId="0" xfId="0" applyBorder="1" applyFont="1"/>
    <xf borderId="3" fillId="0" fontId="1" numFmtId="0" xfId="0" applyAlignment="1" applyBorder="1" applyFont="1">
      <alignment vertical="bottom"/>
    </xf>
    <xf borderId="4" fillId="0" fontId="4" numFmtId="0" xfId="0" applyBorder="1" applyFont="1"/>
    <xf borderId="1" fillId="0" fontId="5" numFmtId="164" xfId="0" applyAlignment="1" applyBorder="1" applyFont="1" applyNumberFormat="1">
      <alignment horizontal="center" vertical="bottom"/>
    </xf>
    <xf borderId="3" fillId="0" fontId="6" numFmtId="164" xfId="0" applyAlignment="1" applyBorder="1" applyFont="1" applyNumberFormat="1">
      <alignment horizontal="center" vertical="bottom"/>
    </xf>
    <xf borderId="3" fillId="0" fontId="7" numFmtId="0" xfId="0" applyAlignment="1" applyBorder="1" applyFont="1">
      <alignment readingOrder="0" shrinkToFit="0" wrapText="1"/>
    </xf>
    <xf borderId="1" fillId="0" fontId="7" numFmtId="164" xfId="0" applyAlignment="1" applyBorder="1" applyFont="1" applyNumberFormat="1">
      <alignment horizontal="center"/>
    </xf>
    <xf borderId="0" fillId="0" fontId="1" numFmtId="0" xfId="0" applyFont="1"/>
    <xf borderId="3" fillId="0" fontId="7" numFmtId="0" xfId="0" applyAlignment="1" applyBorder="1" applyFont="1">
      <alignment readingOrder="0" shrinkToFit="0" vertical="bottom" wrapText="1"/>
    </xf>
    <xf borderId="1" fillId="0" fontId="7" numFmtId="164" xfId="0" applyAlignment="1" applyBorder="1" applyFont="1" applyNumberFormat="1">
      <alignment horizontal="center" vertical="bottom"/>
    </xf>
    <xf borderId="5" fillId="3" fontId="1" numFmtId="165" xfId="0" applyAlignment="1" applyBorder="1" applyFill="1" applyFont="1" applyNumberFormat="1">
      <alignment vertical="bottom"/>
    </xf>
    <xf borderId="5" fillId="3" fontId="8" numFmtId="0" xfId="0" applyAlignment="1" applyBorder="1" applyFill="1" applyFont="1">
      <alignment horizontal="center" shrinkToFit="0" vertical="bottom" wrapText="1"/>
    </xf>
    <xf borderId="6" fillId="3" fontId="8" numFmtId="166" xfId="0" applyAlignment="1" applyBorder="1" applyFill="1" applyFont="1" applyNumberFormat="1">
      <alignment horizontal="center" vertical="bottom"/>
    </xf>
    <xf borderId="0" fillId="0" fontId="2" numFmtId="9" xfId="0" applyAlignment="1" applyFont="1" applyNumberFormat="1">
      <alignment horizontal="center" vertical="bottom"/>
    </xf>
    <xf borderId="0" fillId="0" fontId="8" numFmtId="0" xfId="0" applyAlignment="1" applyFont="1">
      <alignment horizontal="center" shrinkToFit="0" vertical="bottom" wrapText="1"/>
    </xf>
    <xf borderId="0" fillId="0" fontId="7" numFmtId="166" xfId="0" applyAlignment="1" applyFont="1" applyNumberFormat="1">
      <alignment horizontal="center" vertical="bottom"/>
    </xf>
    <xf borderId="7" fillId="4" fontId="8" numFmtId="0" xfId="0" applyAlignment="1" applyBorder="1" applyFill="1" applyFont="1">
      <alignment horizontal="center" shrinkToFit="0" vertical="bottom" wrapText="1"/>
    </xf>
    <xf borderId="8" fillId="0" fontId="4" numFmtId="0" xfId="0" applyBorder="1" applyFont="1"/>
    <xf borderId="6" fillId="4" fontId="8" numFmtId="166" xfId="0" applyAlignment="1" applyBorder="1" applyFill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7" numFmtId="166" xfId="0" applyAlignment="1" applyFont="1" applyNumberFormat="1">
      <alignment horizontal="center" shrinkToFit="0" vertical="bottom" wrapText="1"/>
    </xf>
    <xf borderId="7" fillId="5" fontId="9" numFmtId="0" xfId="0" applyAlignment="1" applyBorder="1" applyFill="1" applyFont="1">
      <alignment horizontal="center" shrinkToFit="0" vertical="bottom" wrapText="1"/>
    </xf>
    <xf borderId="6" fillId="5" fontId="8" numFmtId="166" xfId="0" applyAlignment="1" applyBorder="1" applyFill="1" applyFont="1" applyNumberFormat="1">
      <alignment horizontal="center" shrinkToFit="0" vertical="bottom" wrapText="1"/>
    </xf>
    <xf borderId="0" fillId="0" fontId="8" numFmtId="9" xfId="0" applyAlignment="1" applyFont="1" applyNumberFormat="1">
      <alignment horizontal="center" vertical="bottom"/>
    </xf>
    <xf borderId="7" fillId="6" fontId="10" numFmtId="0" xfId="0" applyAlignment="1" applyBorder="1" applyFill="1" applyFont="1">
      <alignment horizontal="center" shrinkToFit="0" vertical="bottom" wrapText="1"/>
    </xf>
    <xf borderId="6" fillId="6" fontId="10" numFmtId="166" xfId="0" applyAlignment="1" applyBorder="1" applyFill="1" applyFont="1" applyNumberFormat="1">
      <alignment horizontal="center" shrinkToFit="0" vertical="bottom" wrapText="1"/>
    </xf>
    <xf borderId="0" fillId="0" fontId="9" numFmtId="9" xfId="0" applyAlignment="1" applyFont="1" applyNumberFormat="1">
      <alignment horizontal="center" shrinkToFit="0" vertical="bottom" wrapText="1"/>
    </xf>
    <xf borderId="0" fillId="0" fontId="9" numFmtId="0" xfId="0" applyAlignment="1" applyFont="1">
      <alignment horizontal="center" vertical="bottom"/>
    </xf>
    <xf borderId="0" fillId="0" fontId="9" numFmtId="166" xfId="0" applyAlignment="1" applyFont="1" applyNumberFormat="1">
      <alignment horizontal="center" shrinkToFit="0" vertical="bottom" wrapText="1"/>
    </xf>
    <xf borderId="7" fillId="7" fontId="9" numFmtId="0" xfId="0" applyAlignment="1" applyBorder="1" applyFill="1" applyFont="1">
      <alignment horizontal="center" shrinkToFit="0" vertical="bottom" wrapText="1"/>
    </xf>
    <xf borderId="6" fillId="7" fontId="9" numFmtId="166" xfId="0" applyAlignment="1" applyBorder="1" applyFill="1" applyFont="1" applyNumberFormat="1">
      <alignment horizontal="center" shrinkToFit="0" vertical="bottom" wrapText="1"/>
    </xf>
    <xf borderId="7" fillId="3" fontId="11" numFmtId="0" xfId="0" applyAlignment="1" applyBorder="1" applyFill="1" applyFont="1">
      <alignment horizontal="center" shrinkToFit="0" vertical="bottom" wrapText="1"/>
    </xf>
    <xf borderId="6" fillId="3" fontId="11" numFmtId="166" xfId="0" applyAlignment="1" applyBorder="1" applyFill="1" applyFont="1" applyNumberFormat="1">
      <alignment horizontal="center" shrinkToFit="0" vertical="bottom" wrapText="1"/>
    </xf>
    <xf borderId="0" fillId="0" fontId="12" numFmtId="166" xfId="0" applyAlignment="1" applyFont="1" applyNumberFormat="1">
      <alignment horizontal="center" vertical="bottom"/>
    </xf>
    <xf borderId="7" fillId="8" fontId="8" numFmtId="0" xfId="0" applyAlignment="1" applyBorder="1" applyFill="1" applyFont="1">
      <alignment horizontal="center" shrinkToFit="0" vertical="bottom" wrapText="1"/>
    </xf>
    <xf borderId="6" fillId="8" fontId="9" numFmtId="9" xfId="0" applyAlignment="1" applyBorder="1" applyFill="1" applyFont="1" applyNumberFormat="1">
      <alignment horizontal="center" shrinkToFit="0" vertical="bottom" wrapText="1"/>
    </xf>
    <xf borderId="3" fillId="9" fontId="8" numFmtId="0" xfId="0" applyAlignment="1" applyBorder="1" applyFill="1" applyFont="1">
      <alignment horizontal="center" shrinkToFit="0" vertical="bottom" wrapText="1"/>
    </xf>
    <xf borderId="1" fillId="9" fontId="8" numFmtId="166" xfId="0" applyAlignment="1" applyBorder="1" applyFill="1" applyFont="1" applyNumberFormat="1">
      <alignment horizontal="center" shrinkToFit="0" vertical="bottom" wrapText="1"/>
    </xf>
    <xf borderId="0" fillId="0" fontId="1" numFmtId="165" xfId="0" applyAlignment="1" applyFont="1" applyNumberFormat="1">
      <alignment vertical="bottom"/>
    </xf>
    <xf borderId="9" fillId="0" fontId="8" numFmtId="0" xfId="0" applyAlignment="1" applyBorder="1" applyFont="1">
      <alignment horizontal="center" shrinkToFit="0" vertical="bottom" wrapText="1"/>
    </xf>
    <xf borderId="10" fillId="0" fontId="4" numFmtId="0" xfId="0" applyBorder="1" applyFont="1"/>
    <xf borderId="1" fillId="10" fontId="8" numFmtId="165" xfId="0" applyAlignment="1" applyBorder="1" applyFill="1" applyFont="1" applyNumberForma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1" fillId="10" fontId="8" numFmtId="1" xfId="0" applyAlignment="1" applyBorder="1" applyFill="1" applyFont="1" applyNumberFormat="1">
      <alignment horizontal="center" shrinkToFit="0" vertical="bottom" wrapText="1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2" t="s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3">
        <v>1.0</v>
      </c>
      <c r="E4" s="3">
        <v>2.0</v>
      </c>
      <c r="F4" s="3">
        <v>3.0</v>
      </c>
      <c r="G4" s="3">
        <v>4.0</v>
      </c>
      <c r="H4" s="3">
        <v>5.0</v>
      </c>
      <c r="I4" s="3">
        <v>6.0</v>
      </c>
      <c r="J4" s="3">
        <v>7.0</v>
      </c>
      <c r="K4" s="3">
        <v>8.0</v>
      </c>
      <c r="L4" s="3">
        <v>9.0</v>
      </c>
      <c r="M4" s="3">
        <v>10.0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/>
      <c r="C6" s="7"/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7</v>
      </c>
      <c r="K6" s="8" t="s">
        <v>8</v>
      </c>
      <c r="L6" s="9" t="s">
        <v>9</v>
      </c>
      <c r="M6" s="8" t="s">
        <v>10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11</v>
      </c>
      <c r="C7" s="7"/>
      <c r="D7" s="11"/>
      <c r="E7" s="11"/>
      <c r="F7" s="11"/>
      <c r="G7" s="11"/>
      <c r="H7" s="11"/>
      <c r="I7" s="11"/>
      <c r="J7" s="11"/>
      <c r="K7" s="11"/>
      <c r="L7" s="1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/>
      <c r="B8" s="10" t="s">
        <v>12</v>
      </c>
      <c r="C8" s="7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0" t="s">
        <v>13</v>
      </c>
      <c r="C9" s="7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66.0" customHeight="1">
      <c r="A10" s="1"/>
      <c r="B10" s="13" t="s">
        <v>14</v>
      </c>
      <c r="C10" s="7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2"/>
      <c r="B11" s="10" t="s">
        <v>15</v>
      </c>
      <c r="C11" s="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1.75" customHeight="1">
      <c r="A12" s="12"/>
      <c r="B12" s="10" t="s">
        <v>16</v>
      </c>
      <c r="C12" s="7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"/>
      <c r="B13" s="15"/>
      <c r="C13" s="16" t="s">
        <v>17</v>
      </c>
      <c r="D13" s="17">
        <f t="shared" ref="D13:M13" si="1">SUM(D7:D12)</f>
        <v>0</v>
      </c>
      <c r="E13" s="17">
        <f t="shared" si="1"/>
        <v>0</v>
      </c>
      <c r="F13" s="17">
        <f t="shared" si="1"/>
        <v>0</v>
      </c>
      <c r="G13" s="17">
        <f t="shared" si="1"/>
        <v>0</v>
      </c>
      <c r="H13" s="17">
        <f t="shared" si="1"/>
        <v>0</v>
      </c>
      <c r="I13" s="17">
        <f t="shared" si="1"/>
        <v>0</v>
      </c>
      <c r="J13" s="17">
        <f t="shared" si="1"/>
        <v>0</v>
      </c>
      <c r="K13" s="17">
        <f t="shared" si="1"/>
        <v>0</v>
      </c>
      <c r="L13" s="17">
        <f t="shared" si="1"/>
        <v>0</v>
      </c>
      <c r="M13" s="17">
        <f t="shared" si="1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8">
        <v>0.05</v>
      </c>
      <c r="C14" s="19" t="s">
        <v>18</v>
      </c>
      <c r="D14" s="20">
        <f t="shared" ref="D14:M14" si="2">+D13*$B$14</f>
        <v>0</v>
      </c>
      <c r="E14" s="20">
        <f t="shared" si="2"/>
        <v>0</v>
      </c>
      <c r="F14" s="20">
        <f t="shared" si="2"/>
        <v>0</v>
      </c>
      <c r="G14" s="20">
        <f t="shared" si="2"/>
        <v>0</v>
      </c>
      <c r="H14" s="20">
        <f t="shared" si="2"/>
        <v>0</v>
      </c>
      <c r="I14" s="20">
        <f t="shared" si="2"/>
        <v>0</v>
      </c>
      <c r="J14" s="20">
        <f t="shared" si="2"/>
        <v>0</v>
      </c>
      <c r="K14" s="20">
        <f t="shared" si="2"/>
        <v>0</v>
      </c>
      <c r="L14" s="20">
        <f t="shared" si="2"/>
        <v>0</v>
      </c>
      <c r="M14" s="20">
        <f t="shared" si="2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 t="s">
        <v>19</v>
      </c>
      <c r="C15" s="22"/>
      <c r="D15" s="23">
        <f t="shared" ref="D15:M15" si="3">+D13+D14</f>
        <v>0</v>
      </c>
      <c r="E15" s="23">
        <f t="shared" si="3"/>
        <v>0</v>
      </c>
      <c r="F15" s="23">
        <f t="shared" si="3"/>
        <v>0</v>
      </c>
      <c r="G15" s="23">
        <f t="shared" si="3"/>
        <v>0</v>
      </c>
      <c r="H15" s="23">
        <f t="shared" si="3"/>
        <v>0</v>
      </c>
      <c r="I15" s="23">
        <f t="shared" si="3"/>
        <v>0</v>
      </c>
      <c r="J15" s="23">
        <f t="shared" si="3"/>
        <v>0</v>
      </c>
      <c r="K15" s="23">
        <f t="shared" si="3"/>
        <v>0</v>
      </c>
      <c r="L15" s="23">
        <f t="shared" si="3"/>
        <v>0</v>
      </c>
      <c r="M15" s="23">
        <f t="shared" si="3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4">
        <v>0.8</v>
      </c>
      <c r="C16" s="19" t="s">
        <v>20</v>
      </c>
      <c r="D16" s="25">
        <f t="shared" ref="D16:M16" si="4">D17-D15</f>
        <v>0</v>
      </c>
      <c r="E16" s="25">
        <f t="shared" si="4"/>
        <v>0</v>
      </c>
      <c r="F16" s="25">
        <f t="shared" si="4"/>
        <v>0</v>
      </c>
      <c r="G16" s="25">
        <f t="shared" si="4"/>
        <v>0</v>
      </c>
      <c r="H16" s="25">
        <f t="shared" si="4"/>
        <v>0</v>
      </c>
      <c r="I16" s="25">
        <f t="shared" si="4"/>
        <v>0</v>
      </c>
      <c r="J16" s="25">
        <f t="shared" si="4"/>
        <v>0</v>
      </c>
      <c r="K16" s="25">
        <f t="shared" si="4"/>
        <v>0</v>
      </c>
      <c r="L16" s="25">
        <f t="shared" si="4"/>
        <v>0</v>
      </c>
      <c r="M16" s="25">
        <f t="shared" si="4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6" t="s">
        <v>21</v>
      </c>
      <c r="C17" s="22"/>
      <c r="D17" s="27">
        <f t="shared" ref="D17:M17" si="5">ROUNDUP(+D15/$B$16,-3)</f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>
        <v>0.0</v>
      </c>
      <c r="C18" s="19" t="s">
        <v>22</v>
      </c>
      <c r="D18" s="25">
        <f t="shared" ref="D18:M18" si="6">D17*$B$18</f>
        <v>0</v>
      </c>
      <c r="E18" s="25">
        <f t="shared" si="6"/>
        <v>0</v>
      </c>
      <c r="F18" s="25">
        <f t="shared" si="6"/>
        <v>0</v>
      </c>
      <c r="G18" s="25">
        <f t="shared" si="6"/>
        <v>0</v>
      </c>
      <c r="H18" s="25">
        <f t="shared" si="6"/>
        <v>0</v>
      </c>
      <c r="I18" s="25">
        <f t="shared" si="6"/>
        <v>0</v>
      </c>
      <c r="J18" s="25">
        <f t="shared" si="6"/>
        <v>0</v>
      </c>
      <c r="K18" s="25">
        <f t="shared" si="6"/>
        <v>0</v>
      </c>
      <c r="L18" s="25">
        <f t="shared" si="6"/>
        <v>0</v>
      </c>
      <c r="M18" s="25">
        <f t="shared" si="6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 t="s">
        <v>23</v>
      </c>
      <c r="C19" s="22"/>
      <c r="D19" s="30">
        <f t="shared" ref="D19:M19" si="7">ROUNDUP(D17-D18,-3)</f>
        <v>0</v>
      </c>
      <c r="E19" s="30">
        <f t="shared" si="7"/>
        <v>0</v>
      </c>
      <c r="F19" s="30">
        <f t="shared" si="7"/>
        <v>0</v>
      </c>
      <c r="G19" s="30">
        <f t="shared" si="7"/>
        <v>0</v>
      </c>
      <c r="H19" s="30">
        <f t="shared" si="7"/>
        <v>0</v>
      </c>
      <c r="I19" s="30">
        <f t="shared" si="7"/>
        <v>0</v>
      </c>
      <c r="J19" s="30">
        <f t="shared" si="7"/>
        <v>0</v>
      </c>
      <c r="K19" s="30">
        <f t="shared" si="7"/>
        <v>0</v>
      </c>
      <c r="L19" s="30">
        <f t="shared" si="7"/>
        <v>0</v>
      </c>
      <c r="M19" s="30">
        <f t="shared" si="7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1">
        <v>0.19</v>
      </c>
      <c r="C20" s="32" t="s">
        <v>24</v>
      </c>
      <c r="D20" s="33">
        <f t="shared" ref="D20:M20" si="8">D21-D19</f>
        <v>0</v>
      </c>
      <c r="E20" s="33">
        <f t="shared" si="8"/>
        <v>0</v>
      </c>
      <c r="F20" s="33">
        <f t="shared" si="8"/>
        <v>0</v>
      </c>
      <c r="G20" s="33">
        <f t="shared" si="8"/>
        <v>0</v>
      </c>
      <c r="H20" s="33">
        <f t="shared" si="8"/>
        <v>0</v>
      </c>
      <c r="I20" s="33">
        <f t="shared" si="8"/>
        <v>0</v>
      </c>
      <c r="J20" s="33">
        <f t="shared" si="8"/>
        <v>0</v>
      </c>
      <c r="K20" s="33">
        <f t="shared" si="8"/>
        <v>0</v>
      </c>
      <c r="L20" s="33">
        <f t="shared" si="8"/>
        <v>0</v>
      </c>
      <c r="M20" s="33">
        <f t="shared" si="8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4" t="s">
        <v>25</v>
      </c>
      <c r="C21" s="22"/>
      <c r="D21" s="35">
        <f t="shared" ref="D21:M21" si="9">ROUNDUP(D19*(1+19%),-3)</f>
        <v>0</v>
      </c>
      <c r="E21" s="35">
        <f t="shared" si="9"/>
        <v>0</v>
      </c>
      <c r="F21" s="35">
        <f t="shared" si="9"/>
        <v>0</v>
      </c>
      <c r="G21" s="35">
        <f t="shared" si="9"/>
        <v>0</v>
      </c>
      <c r="H21" s="35">
        <f t="shared" si="9"/>
        <v>0</v>
      </c>
      <c r="I21" s="35">
        <f t="shared" si="9"/>
        <v>0</v>
      </c>
      <c r="J21" s="35">
        <f t="shared" si="9"/>
        <v>0</v>
      </c>
      <c r="K21" s="35">
        <f t="shared" si="9"/>
        <v>0</v>
      </c>
      <c r="L21" s="35">
        <f t="shared" si="9"/>
        <v>0</v>
      </c>
      <c r="M21" s="35">
        <f t="shared" si="9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6" t="s">
        <v>26</v>
      </c>
      <c r="C22" s="22"/>
      <c r="D22" s="37">
        <f t="shared" ref="D22:M22" si="10">-D13</f>
        <v>0</v>
      </c>
      <c r="E22" s="37">
        <f t="shared" si="10"/>
        <v>0</v>
      </c>
      <c r="F22" s="37">
        <f t="shared" si="10"/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9" t="s">
        <v>27</v>
      </c>
      <c r="D23" s="38">
        <f t="shared" ref="D23:M23" si="11">+D19+D22</f>
        <v>0</v>
      </c>
      <c r="E23" s="38">
        <f t="shared" si="11"/>
        <v>0</v>
      </c>
      <c r="F23" s="38">
        <f t="shared" si="11"/>
        <v>0</v>
      </c>
      <c r="G23" s="38">
        <f t="shared" si="11"/>
        <v>0</v>
      </c>
      <c r="H23" s="38">
        <f t="shared" si="11"/>
        <v>0</v>
      </c>
      <c r="I23" s="38">
        <f t="shared" si="11"/>
        <v>0</v>
      </c>
      <c r="J23" s="38">
        <f t="shared" si="11"/>
        <v>0</v>
      </c>
      <c r="K23" s="38">
        <f t="shared" si="11"/>
        <v>0</v>
      </c>
      <c r="L23" s="38">
        <f t="shared" si="11"/>
        <v>0</v>
      </c>
      <c r="M23" s="38">
        <f t="shared" si="11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9" t="s">
        <v>28</v>
      </c>
      <c r="C24" s="22"/>
      <c r="D24" s="40" t="str">
        <f t="shared" ref="D24:M24" si="12">+D23/D19</f>
        <v>#DIV/0!</v>
      </c>
      <c r="E24" s="40" t="str">
        <f t="shared" si="12"/>
        <v>#DIV/0!</v>
      </c>
      <c r="F24" s="40" t="str">
        <f t="shared" si="12"/>
        <v>#DIV/0!</v>
      </c>
      <c r="G24" s="40" t="str">
        <f t="shared" si="12"/>
        <v>#DIV/0!</v>
      </c>
      <c r="H24" s="40" t="str">
        <f t="shared" si="12"/>
        <v>#DIV/0!</v>
      </c>
      <c r="I24" s="40" t="str">
        <f t="shared" si="12"/>
        <v>#DIV/0!</v>
      </c>
      <c r="J24" s="40" t="str">
        <f t="shared" si="12"/>
        <v>#DIV/0!</v>
      </c>
      <c r="K24" s="40" t="str">
        <f t="shared" si="12"/>
        <v>#DIV/0!</v>
      </c>
      <c r="L24" s="40" t="str">
        <f t="shared" si="12"/>
        <v>#DIV/0!</v>
      </c>
      <c r="M24" s="40" t="str">
        <f t="shared" si="12"/>
        <v>#DIV/0!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1" t="s">
        <v>29</v>
      </c>
      <c r="C25" s="7"/>
      <c r="D25" s="42">
        <f t="shared" ref="D25:M25" si="13">D23*(1-4%)</f>
        <v>0</v>
      </c>
      <c r="E25" s="42">
        <f t="shared" si="13"/>
        <v>0</v>
      </c>
      <c r="F25" s="42">
        <f t="shared" si="13"/>
        <v>0</v>
      </c>
      <c r="G25" s="42">
        <f t="shared" si="13"/>
        <v>0</v>
      </c>
      <c r="H25" s="42">
        <f t="shared" si="13"/>
        <v>0</v>
      </c>
      <c r="I25" s="42">
        <f t="shared" si="13"/>
        <v>0</v>
      </c>
      <c r="J25" s="42">
        <f t="shared" si="13"/>
        <v>0</v>
      </c>
      <c r="K25" s="42">
        <f t="shared" si="13"/>
        <v>0</v>
      </c>
      <c r="L25" s="42">
        <f t="shared" si="13"/>
        <v>0</v>
      </c>
      <c r="M25" s="42">
        <f t="shared" si="1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4" t="s">
        <v>30</v>
      </c>
      <c r="C27" s="45"/>
      <c r="D27" s="46">
        <v>5700000.0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7" t="s">
        <v>31</v>
      </c>
      <c r="C28" s="7"/>
      <c r="D28" s="48" t="str">
        <f t="shared" ref="D28:M28" si="14">+$D$27/(D23*D4)</f>
        <v>#DIV/0!</v>
      </c>
      <c r="E28" s="48" t="str">
        <f t="shared" si="14"/>
        <v>#DIV/0!</v>
      </c>
      <c r="F28" s="48" t="str">
        <f t="shared" si="14"/>
        <v>#DIV/0!</v>
      </c>
      <c r="G28" s="48" t="str">
        <f t="shared" si="14"/>
        <v>#DIV/0!</v>
      </c>
      <c r="H28" s="48" t="str">
        <f t="shared" si="14"/>
        <v>#DIV/0!</v>
      </c>
      <c r="I28" s="48" t="str">
        <f t="shared" si="14"/>
        <v>#DIV/0!</v>
      </c>
      <c r="J28" s="48" t="str">
        <f t="shared" si="14"/>
        <v>#DIV/0!</v>
      </c>
      <c r="K28" s="48" t="str">
        <f t="shared" si="14"/>
        <v>#DIV/0!</v>
      </c>
      <c r="L28" s="48" t="str">
        <f t="shared" si="14"/>
        <v>#DIV/0!</v>
      </c>
      <c r="M28" s="48" t="str">
        <f t="shared" si="14"/>
        <v>#DIV/0!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9">
    <mergeCell ref="D2:M2"/>
    <mergeCell ref="B5:C5"/>
    <mergeCell ref="B6:C6"/>
    <mergeCell ref="B7:C7"/>
    <mergeCell ref="B8:C8"/>
    <mergeCell ref="B9:C9"/>
    <mergeCell ref="B10:C10"/>
    <mergeCell ref="B23:C23"/>
    <mergeCell ref="B24:C24"/>
    <mergeCell ref="B25:C25"/>
    <mergeCell ref="B27:C27"/>
    <mergeCell ref="B28:C28"/>
    <mergeCell ref="B11:C11"/>
    <mergeCell ref="B12:C12"/>
    <mergeCell ref="B15:C15"/>
    <mergeCell ref="B17:C17"/>
    <mergeCell ref="B19:C19"/>
    <mergeCell ref="B21:C21"/>
    <mergeCell ref="B22:C22"/>
  </mergeCells>
  <drawing r:id="rId1"/>
</worksheet>
</file>