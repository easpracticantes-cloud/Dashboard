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ÑO  2026 ENERO - ABRIL" sheetId="1" r:id="rId5"/>
    <sheet state="visible" name="MAYO - JULIO" sheetId="2" r:id="rId6"/>
    <sheet state="visible" name="AGOSTO" sheetId="3" r:id="rId7"/>
    <sheet state="visible" name="VENTAS_DUSTER" sheetId="4" r:id="rId8"/>
    <sheet state="visible" name="CDC BOSQUE DE PALMAS" sheetId="5" r:id="rId9"/>
    <sheet state="visible" name="PRECOMPRA LUGER 2026" sheetId="6" r:id="rId10"/>
  </sheets>
  <definedNames>
    <definedName hidden="1" localSheetId="1" name="_xlnm._FilterDatabase">'MAYO - JULIO'!$A$99:$AX$130</definedName>
    <definedName hidden="1" localSheetId="3" name="_xlnm._FilterDatabase">VENTAS_DUSTER!$A$2:$J$30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73">
      <text>
        <t xml:space="preserve">diego hizo conduccion Y DE GUIANZA
</t>
      </text>
    </comment>
    <comment authorId="0" ref="D253">
      <text>
        <t xml:space="preserve">COMPROBANTES
</t>
      </text>
    </comment>
    <comment authorId="0" ref="D284">
      <text>
        <t xml:space="preserve">GUIA - CONDUCTOR SALIO EN DUSTER
</t>
      </text>
    </comment>
    <comment authorId="0" ref="D263">
      <text>
        <t xml:space="preserve">NO COINCIDE CON AUTOBITS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0">
      <text>
        <t xml:space="preserve">GUIA - CONDUCTOR
</t>
      </text>
    </comment>
    <comment authorId="0" ref="E17">
      <text>
        <t xml:space="preserve">ALMUERZO DEL CONDUCTOR DE LA DUSTER $17000</t>
      </text>
    </comment>
    <comment authorId="0" ref="E10">
      <text>
        <t xml:space="preserve">SE DESCUENTA $4000</t>
      </text>
    </comment>
    <comment authorId="0" ref="D103">
      <text>
        <t xml:space="preserve">GUIA - CONDUCTOR
</t>
      </text>
    </comment>
    <comment authorId="0" ref="D102">
      <text>
        <t xml:space="preserve">GUIA - CONDUCTOR
</t>
      </text>
    </comment>
    <comment authorId="0" ref="D101">
      <text>
        <t xml:space="preserve">GUIA - CONDUCTOR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0">
      <text>
        <t xml:space="preserve">ALMUERZO DEL CONDUCTOR DE LA DUSTER $17000</t>
      </text>
    </comment>
    <comment authorId="0" ref="E13">
      <text>
        <t xml:space="preserve">SE DESCUENTA $4000</t>
      </text>
    </comment>
  </commentList>
</comments>
</file>

<file path=xl/sharedStrings.xml><?xml version="1.0" encoding="utf-8"?>
<sst xmlns="http://schemas.openxmlformats.org/spreadsheetml/2006/main" count="6771" uniqueCount="2152">
  <si>
    <t>RESTAURANTE MARIA CAMPOS</t>
  </si>
  <si>
    <t>RURAL COCINA ARTESANAL</t>
  </si>
  <si>
    <t>WILSON ANDRES JIMENEZ GUZMAN  - WILL JIMENEZ BARISTA</t>
  </si>
  <si>
    <t>TRANSPORTES MI TIERRA TOURS</t>
  </si>
  <si>
    <t>CARLOS ANDRES PEREZ MONCADA</t>
  </si>
  <si>
    <t>HECTOR MAURICIO DUQUE</t>
  </si>
  <si>
    <t>DONDE LAURITA</t>
  </si>
  <si>
    <t>SUPER PATACON SALENTO - JAVIER MAURICIO BAUTISTA ARAQUE</t>
  </si>
  <si>
    <t>CAMILO MARIN</t>
  </si>
  <si>
    <t>RESTAURANTE DONDE LAURITA CAMPESTRE</t>
  </si>
  <si>
    <t>FECHA DE EJECUCIÓN</t>
  </si>
  <si>
    <t>ORDEN DE COMPRA</t>
  </si>
  <si>
    <t xml:space="preserve">SUPER PATACON </t>
  </si>
  <si>
    <t>REF.</t>
  </si>
  <si>
    <t xml:space="preserve">VALOR </t>
  </si>
  <si>
    <t>FACTURA/CDC</t>
  </si>
  <si>
    <t>FECHA DE PAGO</t>
  </si>
  <si>
    <t xml:space="preserve">TOTAL PAGADOS </t>
  </si>
  <si>
    <t>COM006796</t>
  </si>
  <si>
    <t>COM007246</t>
  </si>
  <si>
    <t>EAS002497</t>
  </si>
  <si>
    <t>EAS002686</t>
  </si>
  <si>
    <t xml:space="preserve">FV POS 15409 </t>
  </si>
  <si>
    <t>FPOS-16488</t>
  </si>
  <si>
    <t xml:space="preserve">COM007236        </t>
  </si>
  <si>
    <t>COM006804</t>
  </si>
  <si>
    <t>EAS002675</t>
  </si>
  <si>
    <t>EAS002500</t>
  </si>
  <si>
    <t>Factura No. 089</t>
  </si>
  <si>
    <t>CDC IMPRESA</t>
  </si>
  <si>
    <t>EAS002294</t>
  </si>
  <si>
    <t>COM006654</t>
  </si>
  <si>
    <t>EAS002555</t>
  </si>
  <si>
    <t>COM007139</t>
  </si>
  <si>
    <t>CDC Transporte</t>
  </si>
  <si>
    <t>COM005691</t>
  </si>
  <si>
    <t>EAS002515</t>
  </si>
  <si>
    <t>COM006846</t>
  </si>
  <si>
    <t>EAS002254
EAS002189</t>
  </si>
  <si>
    <t>FV POS 17264</t>
  </si>
  <si>
    <t xml:space="preserve"> EAS002386</t>
  </si>
  <si>
    <t>FV POS 
13556</t>
  </si>
  <si>
    <t>COM006380</t>
  </si>
  <si>
    <t>FE POS 19289</t>
  </si>
  <si>
    <t>COM005914</t>
  </si>
  <si>
    <t>EAS002266</t>
  </si>
  <si>
    <t>FV POS 15963</t>
  </si>
  <si>
    <t>COM005797</t>
  </si>
  <si>
    <t>Laura cristina galvis bedoya</t>
  </si>
  <si>
    <t>EAS002233</t>
  </si>
  <si>
    <t>FV PL7568</t>
  </si>
  <si>
    <t>COM006350</t>
  </si>
  <si>
    <t>EAS002381</t>
  </si>
  <si>
    <t>COM007072</t>
  </si>
  <si>
    <t>EAS002628</t>
  </si>
  <si>
    <t>FV POS 15495</t>
  </si>
  <si>
    <t>FPOS-16539</t>
  </si>
  <si>
    <t xml:space="preserve">EAS002252, EAS002074, EAS002187, </t>
  </si>
  <si>
    <t xml:space="preserve"> COM007266</t>
  </si>
  <si>
    <t>EAS002688</t>
  </si>
  <si>
    <t xml:space="preserve">COM005695
</t>
  </si>
  <si>
    <t>COM006349</t>
  </si>
  <si>
    <t>Factura No. 090</t>
  </si>
  <si>
    <t>EAS002556</t>
  </si>
  <si>
    <t>FE-2811</t>
  </si>
  <si>
    <t>EAS002505</t>
  </si>
  <si>
    <t>COM006914</t>
  </si>
  <si>
    <t>COM007149</t>
  </si>
  <si>
    <t>EAS002705</t>
  </si>
  <si>
    <t xml:space="preserve"> EAS002067, EAS002070, EAS002239</t>
  </si>
  <si>
    <t>FV POS 17623</t>
  </si>
  <si>
    <t>COM007312</t>
  </si>
  <si>
    <t>COM005717</t>
  </si>
  <si>
    <t>COM005972</t>
  </si>
  <si>
    <t>EAS002271</t>
  </si>
  <si>
    <t>FE POS 19290</t>
  </si>
  <si>
    <t>FV POS 16880</t>
  </si>
  <si>
    <t>IMPRESA</t>
  </si>
  <si>
    <t>COM006719</t>
  </si>
  <si>
    <t>EAS002467</t>
  </si>
  <si>
    <t xml:space="preserve"> FV POS 15493</t>
  </si>
  <si>
    <t xml:space="preserve"> EAS002558</t>
  </si>
  <si>
    <t>COM006915</t>
  </si>
  <si>
    <t>COM005591</t>
  </si>
  <si>
    <t>EAS002216</t>
  </si>
  <si>
    <t>IMPRESA CAMPESTRE</t>
  </si>
  <si>
    <t xml:space="preserve"> EAS002611, EAS002431</t>
  </si>
  <si>
    <t>COM007304</t>
  </si>
  <si>
    <t>COM007046</t>
  </si>
  <si>
    <t>EAS002289</t>
  </si>
  <si>
    <t>EAS002663</t>
  </si>
  <si>
    <t>FPOS-16578</t>
  </si>
  <si>
    <t>COM005878</t>
  </si>
  <si>
    <t>EAS00235</t>
  </si>
  <si>
    <t>COM006808</t>
  </si>
  <si>
    <t>EAS002247
EAS002395</t>
  </si>
  <si>
    <t>COM006126</t>
  </si>
  <si>
    <t>COM006054</t>
  </si>
  <si>
    <t xml:space="preserve"> EAS002332, EAS002337</t>
  </si>
  <si>
    <t>FV POS 16535</t>
  </si>
  <si>
    <t>EAS002633</t>
  </si>
  <si>
    <t>COM007381</t>
  </si>
  <si>
    <t xml:space="preserve">COM006832 </t>
  </si>
  <si>
    <t>EAS002512</t>
  </si>
  <si>
    <t>FE POS 6808</t>
  </si>
  <si>
    <t xml:space="preserve"> FV POS 15512</t>
  </si>
  <si>
    <t xml:space="preserve"> EAS002560, EAS002552</t>
  </si>
  <si>
    <t>COM005840</t>
  </si>
  <si>
    <t>COM006953</t>
  </si>
  <si>
    <t>EAS002260</t>
  </si>
  <si>
    <t>COM007398</t>
  </si>
  <si>
    <t>EAS002696</t>
  </si>
  <si>
    <t>FE POS 16676</t>
  </si>
  <si>
    <t>FV POS 
13607</t>
  </si>
  <si>
    <t>COM005814</t>
  </si>
  <si>
    <t>EAS002235</t>
  </si>
  <si>
    <t>EAS002519
EAS002079</t>
  </si>
  <si>
    <t>FV PLE7567</t>
  </si>
  <si>
    <t xml:space="preserve">COM006740	</t>
  </si>
  <si>
    <t>EAS002251</t>
  </si>
  <si>
    <t>FV POS 17909</t>
  </si>
  <si>
    <t>COM005837</t>
  </si>
  <si>
    <t>COM006175</t>
  </si>
  <si>
    <t xml:space="preserve"> EAS002342, EAS002305
</t>
  </si>
  <si>
    <t>COM007250</t>
  </si>
  <si>
    <t>FV POS 59300</t>
  </si>
  <si>
    <t>LAURA DEDOYA DE GALVIS</t>
  </si>
  <si>
    <t>EAS002234</t>
  </si>
  <si>
    <t>COM005821</t>
  </si>
  <si>
    <t>COM006090</t>
  </si>
  <si>
    <t>EAS002304</t>
  </si>
  <si>
    <t xml:space="preserve"> FV POS 15519</t>
  </si>
  <si>
    <t>EAS002562</t>
  </si>
  <si>
    <t xml:space="preserve"> EAS002569</t>
  </si>
  <si>
    <t>COM006966</t>
  </si>
  <si>
    <t>COM007434</t>
  </si>
  <si>
    <t>COM005556</t>
  </si>
  <si>
    <t>EAS001705</t>
  </si>
  <si>
    <t>FE POS 6834</t>
  </si>
  <si>
    <t>EAS002325</t>
  </si>
  <si>
    <t>COM006148</t>
  </si>
  <si>
    <t xml:space="preserve">© 2026 Autobits Systems - All Rights Reserved </t>
  </si>
  <si>
    <t>FV POS 17930</t>
  </si>
  <si>
    <t>EAS002231</t>
  </si>
  <si>
    <t>COM006069</t>
  </si>
  <si>
    <t>MES</t>
  </si>
  <si>
    <t>COM006631</t>
  </si>
  <si>
    <t xml:space="preserve"> EAS002313</t>
  </si>
  <si>
    <t>COM005823</t>
  </si>
  <si>
    <t xml:space="preserve"> EAS002234</t>
  </si>
  <si>
    <t>FV POS 19319</t>
  </si>
  <si>
    <t>FE POS 16578</t>
  </si>
  <si>
    <t>FV POS 
13417</t>
  </si>
  <si>
    <t>NIT/CC Proveedor (Orden de Compra)</t>
  </si>
  <si>
    <t>EAS002447</t>
  </si>
  <si>
    <t>COM006779</t>
  </si>
  <si>
    <t>COM006653</t>
  </si>
  <si>
    <t>Codigo Orden de compra</t>
  </si>
  <si>
    <t xml:space="preserve">COM005625 </t>
  </si>
  <si>
    <t>EAS002193</t>
  </si>
  <si>
    <t xml:space="preserve">FV POS 15494 </t>
  </si>
  <si>
    <t>Referencia (Orden de Compra)</t>
  </si>
  <si>
    <t>FV PLE7565</t>
  </si>
  <si>
    <t>Codigo Reserva</t>
  </si>
  <si>
    <t>Fecha de ejecución (Reserva)</t>
  </si>
  <si>
    <t>EAS002258</t>
  </si>
  <si>
    <t>COM005910</t>
  </si>
  <si>
    <t>estado de la compra</t>
  </si>
  <si>
    <t>FE-5090</t>
  </si>
  <si>
    <t>COM007325</t>
  </si>
  <si>
    <t>MI TIERRA TOURS</t>
  </si>
  <si>
    <t>EAS002491</t>
  </si>
  <si>
    <t>EAS002123
EAS002208</t>
  </si>
  <si>
    <t>FE POS 16601</t>
  </si>
  <si>
    <t>COM005742</t>
  </si>
  <si>
    <t>Description servicio</t>
  </si>
  <si>
    <t>EAS002331</t>
  </si>
  <si>
    <t>COM007399</t>
  </si>
  <si>
    <t>PRECIO EAS</t>
  </si>
  <si>
    <t xml:space="preserve"> EAS002519, EAS002079</t>
  </si>
  <si>
    <t>COM005537</t>
  </si>
  <si>
    <t>EAS001741</t>
  </si>
  <si>
    <t>PRECIO TERCEROS</t>
  </si>
  <si>
    <t>IMPRESA SALENTO</t>
  </si>
  <si>
    <t>COM006739</t>
  </si>
  <si>
    <t>DICIEMBRE</t>
  </si>
  <si>
    <t>901814243</t>
  </si>
  <si>
    <t>EAS002417
EAS002439</t>
  </si>
  <si>
    <t>COM006504</t>
  </si>
  <si>
    <t>COM007335</t>
  </si>
  <si>
    <t>COM005551</t>
  </si>
  <si>
    <t>FV POS 18454</t>
  </si>
  <si>
    <t>EAS002677</t>
  </si>
  <si>
    <t xml:space="preserve">COM006791 </t>
  </si>
  <si>
    <t>COM005651</t>
  </si>
  <si>
    <t>Civitatis_2pax_31664784_EAS001705</t>
  </si>
  <si>
    <t xml:space="preserve">FE POS 16604 </t>
  </si>
  <si>
    <t xml:space="preserve"> EAS001705</t>
  </si>
  <si>
    <t>EAS002479</t>
  </si>
  <si>
    <t xml:space="preserve"> EAS002060, EAS002204, EAS001936</t>
  </si>
  <si>
    <t xml:space="preserve"> 2025-12-25 13:30:00</t>
  </si>
  <si>
    <t>COM007329</t>
  </si>
  <si>
    <t>Activo</t>
  </si>
  <si>
    <t xml:space="preserve">FV POS </t>
  </si>
  <si>
    <t>TRANSPORTE EXCURSIÓN FILANDIA, SALENTO Y VALLE DE COCORA EN DUSTER-PEREIRA</t>
  </si>
  <si>
    <t>FV POS 
13424</t>
  </si>
  <si>
    <t>REVISAR ESTE POR QUE LA FACTURA ESTA POR 219,500</t>
  </si>
  <si>
    <t>COM007418</t>
  </si>
  <si>
    <t>COM006828</t>
  </si>
  <si>
    <t>COT002481</t>
  </si>
  <si>
    <t>EAS002498</t>
  </si>
  <si>
    <t>COM005631</t>
  </si>
  <si>
    <t>FE POS 16721</t>
  </si>
  <si>
    <t>EAS001564</t>
  </si>
  <si>
    <t>EAS002713</t>
  </si>
  <si>
    <t>FV PLE7584</t>
  </si>
  <si>
    <t>COM007439</t>
  </si>
  <si>
    <t>COM005573</t>
  </si>
  <si>
    <t>FV POS 15511</t>
  </si>
  <si>
    <t>Civitatis_1pax_35942777_EAS002212</t>
  </si>
  <si>
    <t xml:space="preserve"> EAS002212</t>
  </si>
  <si>
    <t xml:space="preserve"> 2025-12-17 13:30:00</t>
  </si>
  <si>
    <t>TRASLADO HTLES QUINDIO HACIA EXCURSIÓN FILANDIA, SALENTO Y VALLE DE COCORA</t>
  </si>
  <si>
    <t>EAS002403
EAS002404</t>
  </si>
  <si>
    <t>COM006460</t>
  </si>
  <si>
    <t>FE-5348</t>
  </si>
  <si>
    <t>COM005574</t>
  </si>
  <si>
    <t>EAS002078</t>
  </si>
  <si>
    <t>KAROL_2PAX_EAS001982</t>
  </si>
  <si>
    <t xml:space="preserve"> EAS001982</t>
  </si>
  <si>
    <t>COM005763</t>
  </si>
  <si>
    <t xml:space="preserve"> 2025-12-19 13:00:00</t>
  </si>
  <si>
    <t>Tour compartido Termales de Santa Rosa de Cabal desde Salento</t>
  </si>
  <si>
    <t>COM005754</t>
  </si>
  <si>
    <t>COM005594</t>
  </si>
  <si>
    <t xml:space="preserve"> EAS002134, EAS002593</t>
  </si>
  <si>
    <t>EAS002147</t>
  </si>
  <si>
    <t>DIANA_1PAX_EAS002215</t>
  </si>
  <si>
    <t>COM006750</t>
  </si>
  <si>
    <t xml:space="preserve"> EAS002215</t>
  </si>
  <si>
    <t xml:space="preserve"> 2025-12-18 19:00:00</t>
  </si>
  <si>
    <t>TRASLADO AEROPUERTO PEI - HACIA HTLES SALENTO (1 TRAYECTO)</t>
  </si>
  <si>
    <t>COM005777</t>
  </si>
  <si>
    <t>EAS002461</t>
  </si>
  <si>
    <t xml:space="preserve"> 2025-12-21 14:00:00</t>
  </si>
  <si>
    <t xml:space="preserve">COM006645 </t>
  </si>
  <si>
    <t>COM007135</t>
  </si>
  <si>
    <t>TRASLADO AEROPUERTO AXM - HACIA PARQUES TEMATICOS EN EL QUINDIO</t>
  </si>
  <si>
    <t>COM005799</t>
  </si>
  <si>
    <t>Miguel_4pax_EAS002229</t>
  </si>
  <si>
    <t>COM006366</t>
  </si>
  <si>
    <t>COM005679
COM005684</t>
  </si>
  <si>
    <t xml:space="preserve"> EAS002229</t>
  </si>
  <si>
    <t>EAS002374</t>
  </si>
  <si>
    <t>EAS002196, EAS002249</t>
  </si>
  <si>
    <t xml:space="preserve"> 2025-12-23 15:30:00</t>
  </si>
  <si>
    <t>FE POS 16709</t>
  </si>
  <si>
    <t>FV POS 
13444</t>
  </si>
  <si>
    <t>TRASLADO HTLES QUINDIO HACIA SECTOR DE RIO VERDE (TRAYECTO)</t>
  </si>
  <si>
    <t>COM005952</t>
  </si>
  <si>
    <t>Johan Sebastián Arango Castaño.</t>
  </si>
  <si>
    <t>COM005800</t>
  </si>
  <si>
    <t>EAS002288</t>
  </si>
  <si>
    <t xml:space="preserve"> 2025-12-26 14:00:00</t>
  </si>
  <si>
    <t>FV PLE8028</t>
  </si>
  <si>
    <t>EAS002225</t>
  </si>
  <si>
    <t>COM005863</t>
  </si>
  <si>
    <t>COM005804</t>
  </si>
  <si>
    <t>FV POS 19190</t>
  </si>
  <si>
    <t>EAS002572</t>
  </si>
  <si>
    <t xml:space="preserve"> 2025-12-28 13:00:00</t>
  </si>
  <si>
    <t>ENTRADA JARDIN BOTANICO</t>
  </si>
  <si>
    <t>COM005888</t>
  </si>
  <si>
    <t>EAS002200</t>
  </si>
  <si>
    <t xml:space="preserve">COM007470        </t>
  </si>
  <si>
    <t>COM005817</t>
  </si>
  <si>
    <t xml:space="preserve"> 2025-12-29 13:40:00</t>
  </si>
  <si>
    <t>TRASLADO HTLES QUINDIO CASCO URBANO - HACIA MUNICIPIO SALENTO (1 TRAYECTO)</t>
  </si>
  <si>
    <t>ENERO</t>
  </si>
  <si>
    <t xml:space="preserve">        COM006628        </t>
  </si>
  <si>
    <t xml:space="preserve">EAS002321
</t>
  </si>
  <si>
    <t>COM005683</t>
  </si>
  <si>
    <t>Civitatis_1PAX_35784385_EAS002199</t>
  </si>
  <si>
    <t xml:space="preserve"> EAS002199</t>
  </si>
  <si>
    <t xml:space="preserve"> 2026-01-03 13:30:00</t>
  </si>
  <si>
    <t xml:space="preserve">FV POS 15335 </t>
  </si>
  <si>
    <t>COM005831</t>
  </si>
  <si>
    <t>EAS002246</t>
  </si>
  <si>
    <t xml:space="preserve">12/0772026 </t>
  </si>
  <si>
    <t>FV POS 
13474</t>
  </si>
  <si>
    <t>COM005690</t>
  </si>
  <si>
    <t>Civitatis_1PAX_35658426_EAS002189</t>
  </si>
  <si>
    <t xml:space="preserve"> EAS002189, EAS002254</t>
  </si>
  <si>
    <t xml:space="preserve"> 2026-01-06 13:00:00, 2026-01-06 13:00:00</t>
  </si>
  <si>
    <t>COM006110</t>
  </si>
  <si>
    <t>COM005732</t>
  </si>
  <si>
    <t>Civitatis_1pax_34784210_EAS002082</t>
  </si>
  <si>
    <t xml:space="preserve"> EAS002082</t>
  </si>
  <si>
    <t xml:space="preserve"> EAS002296</t>
  </si>
  <si>
    <t xml:space="preserve"> 2026-01-11 12:40:00</t>
  </si>
  <si>
    <t>FV FE 5653</t>
  </si>
  <si>
    <t>COM005753</t>
  </si>
  <si>
    <t>Civitatis_2pax_35202036_EAS002147</t>
  </si>
  <si>
    <t xml:space="preserve"> EAS002147</t>
  </si>
  <si>
    <t xml:space="preserve"> 2026-01-17 13:30:00</t>
  </si>
  <si>
    <t>EAS002537, EAS002522, EAS002495</t>
  </si>
  <si>
    <t>COM007391</t>
  </si>
  <si>
    <t>COM007100</t>
  </si>
  <si>
    <t>FE POS 16675</t>
  </si>
  <si>
    <t>COM005758</t>
  </si>
  <si>
    <t>Civitatis_2PAX_35520734_EAS002171</t>
  </si>
  <si>
    <t xml:space="preserve"> EAS002171</t>
  </si>
  <si>
    <t xml:space="preserve"> 2026-01-19 13:30:00</t>
  </si>
  <si>
    <t>COM005771</t>
  </si>
  <si>
    <t>Civitatis_2pax_35520735_EAS002176</t>
  </si>
  <si>
    <t xml:space="preserve"> EAS002176</t>
  </si>
  <si>
    <t xml:space="preserve"> 2026-01-21 10:00:00</t>
  </si>
  <si>
    <t>TRANSPORTE SALENTO A NEVADO DEL RUIZ IDA Y REGRESO</t>
  </si>
  <si>
    <t>COM006031</t>
  </si>
  <si>
    <t>CIV_2PAX_36474316_EAS002277</t>
  </si>
  <si>
    <t xml:space="preserve"> EAS002277</t>
  </si>
  <si>
    <t xml:space="preserve">        COM006854        </t>
  </si>
  <si>
    <t xml:space="preserve"> 2026-01-27 13:00:00</t>
  </si>
  <si>
    <t>EAS002489</t>
  </si>
  <si>
    <t xml:space="preserve"> FV POS 15553 </t>
  </si>
  <si>
    <t>21/0772027</t>
  </si>
  <si>
    <t>COM005832</t>
  </si>
  <si>
    <t>COM005941</t>
  </si>
  <si>
    <t>Civitatis_2pax_36162365_EAS002240</t>
  </si>
  <si>
    <t>COM007118</t>
  </si>
  <si>
    <t xml:space="preserve"> EAS002240</t>
  </si>
  <si>
    <t xml:space="preserve"> 2026-01-05 13:30:00</t>
  </si>
  <si>
    <t>EAS001567</t>
  </si>
  <si>
    <t xml:space="preserve"> EAS002581, EAS002640, EAS002194</t>
  </si>
  <si>
    <t>FV PLE0024</t>
  </si>
  <si>
    <t>COM005844</t>
  </si>
  <si>
    <t>Ana_2pax_EAS002262</t>
  </si>
  <si>
    <t xml:space="preserve"> EAS002262</t>
  </si>
  <si>
    <t>FE FE5721</t>
  </si>
  <si>
    <t xml:space="preserve"> 2026-01-09 14:00:00</t>
  </si>
  <si>
    <t>COM005862</t>
  </si>
  <si>
    <t xml:space="preserve"> EAS002359, EAS002528</t>
  </si>
  <si>
    <t>COM007018</t>
  </si>
  <si>
    <t>COM005848</t>
  </si>
  <si>
    <t>German_2pax_EAS002261</t>
  </si>
  <si>
    <t>COM005877</t>
  </si>
  <si>
    <t xml:space="preserve"> EAS002261</t>
  </si>
  <si>
    <t xml:space="preserve"> 2026-01-08 10:00:00</t>
  </si>
  <si>
    <t>EAS002236</t>
  </si>
  <si>
    <t>COM005849</t>
  </si>
  <si>
    <t>CIV_2pax_36384763_EAS002269</t>
  </si>
  <si>
    <t xml:space="preserve"> EAS002269</t>
  </si>
  <si>
    <t xml:space="preserve"> 2026-01-18 13:30:00</t>
  </si>
  <si>
    <t>TRANSPORTE EXCURSIÓN FILANDIA, SALENTO Y VALLE DE COCORA EN DUSTER-SALENTO</t>
  </si>
  <si>
    <t>COM006839</t>
  </si>
  <si>
    <t>COM005836</t>
  </si>
  <si>
    <t>COM005865</t>
  </si>
  <si>
    <t>EAS00248</t>
  </si>
  <si>
    <t>COM007366</t>
  </si>
  <si>
    <t>CIV_1pax_36576513_EAS002285</t>
  </si>
  <si>
    <t>EAS002240</t>
  </si>
  <si>
    <t>EAS002637</t>
  </si>
  <si>
    <t xml:space="preserve"> EAS002285</t>
  </si>
  <si>
    <t xml:space="preserve"> 2026-01-22 13:00:00</t>
  </si>
  <si>
    <t>FV POS 
13563</t>
  </si>
  <si>
    <t xml:space="preserve">FV POS 15520 </t>
  </si>
  <si>
    <t>FE POS 16657</t>
  </si>
  <si>
    <t>COM005872</t>
  </si>
  <si>
    <t xml:space="preserve"> EAS002617, EAS002596</t>
  </si>
  <si>
    <t xml:space="preserve"> 2026-01-01 13:00:00</t>
  </si>
  <si>
    <t>COM007039</t>
  </si>
  <si>
    <t>DISPONIBILIDAD QUINDIO (8H)</t>
  </si>
  <si>
    <t>COM006786</t>
  </si>
  <si>
    <t>COM005873</t>
  </si>
  <si>
    <t xml:space="preserve"> 2026-01-02 15:00:00</t>
  </si>
  <si>
    <t>TRASLADO AEROPUERTO AXM - HACIA HTLES SALENTO (1 TRAYECTO)</t>
  </si>
  <si>
    <t>COM006132</t>
  </si>
  <si>
    <t>EAS002334</t>
  </si>
  <si>
    <t>COM005884</t>
  </si>
  <si>
    <t>FV PLE 8122</t>
  </si>
  <si>
    <t>Civitatis_2PAX_35788678_EAS002200</t>
  </si>
  <si>
    <t xml:space="preserve"> EAS002200</t>
  </si>
  <si>
    <t xml:space="preserve"> 2026-01-25 13:30:00</t>
  </si>
  <si>
    <t>COM006867</t>
  </si>
  <si>
    <t>COM007364</t>
  </si>
  <si>
    <t>EAS002203</t>
  </si>
  <si>
    <t>FE POS 16648</t>
  </si>
  <si>
    <t>EAS002527</t>
  </si>
  <si>
    <t>COM005894</t>
  </si>
  <si>
    <t>CIV_1PAX_36403445_EAS002270</t>
  </si>
  <si>
    <t>COM005899</t>
  </si>
  <si>
    <t xml:space="preserve"> EAS002270</t>
  </si>
  <si>
    <t xml:space="preserve"> 2026-01-26 13:30:00</t>
  </si>
  <si>
    <t>TRASLADO ARMENIA CASCO URBANO - HACIA MUNICIPIO FILANDIA - VICEVERSA (1 TRAYECTO)</t>
  </si>
  <si>
    <t xml:space="preserve">FV POS 15512 </t>
  </si>
  <si>
    <t>COM007336</t>
  </si>
  <si>
    <t>pague de mas</t>
  </si>
  <si>
    <t>COM005902</t>
  </si>
  <si>
    <t xml:space="preserve"> 2026-01-27 13:30:00</t>
  </si>
  <si>
    <t>COM005893</t>
  </si>
  <si>
    <t>08082026 CDC TRANSPORTE JOHAN SEBASTIAN ARANGO $500000 COM007336.pdf</t>
  </si>
  <si>
    <t>EASS002279</t>
  </si>
  <si>
    <t>COM005913</t>
  </si>
  <si>
    <t>CIV_2PAX_36367252_EAS002266</t>
  </si>
  <si>
    <t xml:space="preserve"> EAS002266</t>
  </si>
  <si>
    <t xml:space="preserve"> 2026-01-31 13:30:00</t>
  </si>
  <si>
    <t xml:space="preserve"> EAS002607, EAS002658</t>
  </si>
  <si>
    <t>COM007128</t>
  </si>
  <si>
    <t>COM005696</t>
  </si>
  <si>
    <t>EAS002252, EAS002074, EAS002187</t>
  </si>
  <si>
    <t>FV POS 
13548</t>
  </si>
  <si>
    <t>COM006106</t>
  </si>
  <si>
    <t>EAS002319</t>
  </si>
  <si>
    <t>FV PLE 8079</t>
  </si>
  <si>
    <t>EAS002232
EAS002290
EAS002039</t>
  </si>
  <si>
    <t>COM005907</t>
  </si>
  <si>
    <t>COM005743</t>
  </si>
  <si>
    <t>EAS002208
EAS002123</t>
  </si>
  <si>
    <t>COM006308</t>
  </si>
  <si>
    <t>FV POS
13668</t>
  </si>
  <si>
    <t>EAS002373</t>
  </si>
  <si>
    <t>TOTAL</t>
  </si>
  <si>
    <t>COM006100</t>
  </si>
  <si>
    <t>EAS002314</t>
  </si>
  <si>
    <t xml:space="preserve">FV POS 15587 </t>
  </si>
  <si>
    <t>FVPLE 8125</t>
  </si>
  <si>
    <t xml:space="preserve">COM007359 </t>
  </si>
  <si>
    <t>EAS002283</t>
  </si>
  <si>
    <t>FE POS 16647</t>
  </si>
  <si>
    <t>EAS002701</t>
  </si>
  <si>
    <t>COM007407</t>
  </si>
  <si>
    <t xml:space="preserve"> EAS002273 
EAS002263
 EAS002327
 EAS002327
</t>
  </si>
  <si>
    <t xml:space="preserve">COM005934
COM006109
COM006122
</t>
  </si>
  <si>
    <t>COM006872</t>
  </si>
  <si>
    <t>EAS002183</t>
  </si>
  <si>
    <t>AHORRO DE LA DUSTER</t>
  </si>
  <si>
    <t xml:space="preserve"> CDC Transporte</t>
  </si>
  <si>
    <t>FV POS 15589</t>
  </si>
  <si>
    <t>FE POS 16539</t>
  </si>
  <si>
    <t>Nombre Proveedor (Orden de Compra)</t>
  </si>
  <si>
    <t>Vendedor (Reserva)</t>
  </si>
  <si>
    <t>Nombre concepto</t>
  </si>
  <si>
    <t>Total</t>
  </si>
  <si>
    <t>COM006725</t>
  </si>
  <si>
    <t xml:space="preserve"> EAS002326</t>
  </si>
  <si>
    <t xml:space="preserve">FV POS 15621 </t>
  </si>
  <si>
    <t>FEBRERO</t>
  </si>
  <si>
    <t>COM007276</t>
  </si>
  <si>
    <t>EAS002643</t>
  </si>
  <si>
    <t>ESCUELA AVES SALENTO S.A.S.</t>
  </si>
  <si>
    <t>COM005919</t>
  </si>
  <si>
    <t>FE POS 16723</t>
  </si>
  <si>
    <t>EAS002291</t>
  </si>
  <si>
    <t>ASISTENTE VIRTUAL</t>
  </si>
  <si>
    <t>COM006698</t>
  </si>
  <si>
    <t>COM005733</t>
  </si>
  <si>
    <t>EAS002471</t>
  </si>
  <si>
    <t>EAS002082
EAS002265</t>
  </si>
  <si>
    <t>FV POS
13653</t>
  </si>
  <si>
    <t>FV POS 16444</t>
  </si>
  <si>
    <t>COM005784</t>
  </si>
  <si>
    <t>EAS002169</t>
  </si>
  <si>
    <t>COM007155</t>
  </si>
  <si>
    <t>COM005924</t>
  </si>
  <si>
    <t>FV</t>
  </si>
  <si>
    <t>EAS002563</t>
  </si>
  <si>
    <t>EAS002272</t>
  </si>
  <si>
    <t>FE POS 16430</t>
  </si>
  <si>
    <t>TRASLADO HTLES ARMENIA CASCO URBANO HACIA EXCURSIÓN FILANDIA, SALENTO Y VALLE DE COCORA</t>
  </si>
  <si>
    <t>COM006095</t>
  </si>
  <si>
    <t>EAS002309</t>
  </si>
  <si>
    <t>COM006896</t>
  </si>
  <si>
    <t xml:space="preserve"> EAS002543</t>
  </si>
  <si>
    <t xml:space="preserve">FV POS 15650 </t>
  </si>
  <si>
    <t>COM006108</t>
  </si>
  <si>
    <t>EAS002263</t>
  </si>
  <si>
    <t>EAS002104
EAS002346
EAS002299
EAS002332
EAS002337
EAS002344</t>
  </si>
  <si>
    <t>COM007255
COM006371</t>
  </si>
  <si>
    <t>COM006125
COM006141
COM005961</t>
  </si>
  <si>
    <t>EAS002177</t>
  </si>
  <si>
    <t>$4000 mil pesos a favor</t>
  </si>
  <si>
    <t>TRASLADO HTLES SALENTO - HACIA FILANIDIA (IDA Y REGRESO)</t>
  </si>
  <si>
    <t>FE POS 16517</t>
  </si>
  <si>
    <t>COM006006</t>
  </si>
  <si>
    <t>EAS002303</t>
  </si>
  <si>
    <t>COOMODEQUI</t>
  </si>
  <si>
    <t>COM005769</t>
  </si>
  <si>
    <t>EAS002198
EAS002285</t>
  </si>
  <si>
    <t>FV POS 
13780</t>
  </si>
  <si>
    <t>COM006782</t>
  </si>
  <si>
    <t>COM006135</t>
  </si>
  <si>
    <t>COM006729</t>
  </si>
  <si>
    <t>EAS002341</t>
  </si>
  <si>
    <t>COM005859</t>
  </si>
  <si>
    <t>EAS002259</t>
  </si>
  <si>
    <t xml:space="preserve"> EAS002534</t>
  </si>
  <si>
    <t>FE POS 16510</t>
  </si>
  <si>
    <t>EAS002271
EAS001989
EAS002206
EAS002148
EAS002092
EAS002365
EAS002245
EAS002004
EAS002343</t>
  </si>
  <si>
    <t>COM005971
COM005976
COM005986
COM005996
COM006001</t>
  </si>
  <si>
    <t>MIGUEL CRUZBUENA</t>
  </si>
  <si>
    <t>TRASLADO DE HTLES PEREIRA HACIA FINCA DON MANOLO</t>
  </si>
  <si>
    <t xml:space="preserve"> FV POS 16373 </t>
  </si>
  <si>
    <t>COM006145</t>
  </si>
  <si>
    <t>EAS002347</t>
  </si>
  <si>
    <t>MIGUEL ANGEL CRUZBUENA</t>
  </si>
  <si>
    <t>COM007242</t>
  </si>
  <si>
    <t>EAS002656</t>
  </si>
  <si>
    <t>TRASLADO DESDE SALENTO - HACIA TERMALES SAN VICENTE (IDA Y REGRESD)</t>
  </si>
  <si>
    <t>FE POS 16467</t>
  </si>
  <si>
    <t>COM006187</t>
  </si>
  <si>
    <t>EAS002335</t>
  </si>
  <si>
    <t xml:space="preserve"> EAS002475</t>
  </si>
  <si>
    <t>COM006840</t>
  </si>
  <si>
    <t>CARLOS ANDRES PEREZ</t>
  </si>
  <si>
    <t xml:space="preserve">	COM006710</t>
  </si>
  <si>
    <t xml:space="preserve"> EAS002476</t>
  </si>
  <si>
    <t xml:space="preserve"> FV POS 15760 </t>
  </si>
  <si>
    <t xml:space="preserve">FE 5901 </t>
  </si>
  <si>
    <t>COM005870</t>
  </si>
  <si>
    <t>COM007400</t>
  </si>
  <si>
    <t>FV POS
13833</t>
  </si>
  <si>
    <t>EAS002069</t>
  </si>
  <si>
    <t>FE POS 16698</t>
  </si>
  <si>
    <t>COM005860</t>
  </si>
  <si>
    <t>EAS002356</t>
  </si>
  <si>
    <t>COM006697</t>
  </si>
  <si>
    <t>CDC transporte</t>
  </si>
  <si>
    <t xml:space="preserve"> EAS002481</t>
  </si>
  <si>
    <t>COM007410</t>
  </si>
  <si>
    <t xml:space="preserve"> EAS002563, EAS002613</t>
  </si>
  <si>
    <t>EAS002162, EAS002132, EAS002320, EAS002312, EAS002274, EAS002129</t>
  </si>
  <si>
    <t>COM007411</t>
  </si>
  <si>
    <t>EAS002666</t>
  </si>
  <si>
    <t>COM006027
COM006033
COM006048</t>
  </si>
  <si>
    <t>FE POS 16710</t>
  </si>
  <si>
    <t>COM007159</t>
  </si>
  <si>
    <t>COM007356</t>
  </si>
  <si>
    <t xml:space="preserve">COM007308 </t>
  </si>
  <si>
    <t>FE 24691</t>
  </si>
  <si>
    <t>COM007281</t>
  </si>
  <si>
    <t>EAS002699</t>
  </si>
  <si>
    <t xml:space="preserve"> FE POS 16724</t>
  </si>
  <si>
    <t xml:space="preserve">	COM006963</t>
  </si>
  <si>
    <t xml:space="preserve"> EAS002513</t>
  </si>
  <si>
    <t xml:space="preserve">FV POS 15804 </t>
  </si>
  <si>
    <t>COM005718</t>
  </si>
  <si>
    <t>EAS002067
EAS002070
EAS002239</t>
  </si>
  <si>
    <t>FV POS
13626</t>
  </si>
  <si>
    <t>COM006958</t>
  </si>
  <si>
    <t>COM006053</t>
  </si>
  <si>
    <t xml:space="preserve">COM007418 </t>
  </si>
  <si>
    <t xml:space="preserve"> FE POS 16721</t>
  </si>
  <si>
    <t>EAS002425</t>
  </si>
  <si>
    <t>COM006617</t>
  </si>
  <si>
    <t>COM007459</t>
  </si>
  <si>
    <t xml:space="preserve"> EAS002448</t>
  </si>
  <si>
    <t>COM007245</t>
  </si>
  <si>
    <t>EAS002104</t>
  </si>
  <si>
    <t xml:space="preserve">03082026 FE E 24721 </t>
  </si>
  <si>
    <t>COM006144</t>
  </si>
  <si>
    <t xml:space="preserve">COM006908 </t>
  </si>
  <si>
    <t xml:space="preserve">EAS002526
</t>
  </si>
  <si>
    <t>FV POS 15692</t>
  </si>
  <si>
    <t>COM006933</t>
  </si>
  <si>
    <t>COM005852</t>
  </si>
  <si>
    <t>EAS002275
EAS002269</t>
  </si>
  <si>
    <t xml:space="preserve"> EAS002622, EAS002384, EAS002602</t>
  </si>
  <si>
    <t>FV POS
13766</t>
  </si>
  <si>
    <t>COM006370</t>
  </si>
  <si>
    <t xml:space="preserve">04082026 FE E 24731 </t>
  </si>
  <si>
    <t>COM006992</t>
  </si>
  <si>
    <t>EAS002577</t>
  </si>
  <si>
    <t>FV POS 15861</t>
  </si>
  <si>
    <t>EAS002417
EAS002439
EAS002409</t>
  </si>
  <si>
    <t>COM006501
COM006507
COM006515</t>
  </si>
  <si>
    <t>COM007108</t>
  </si>
  <si>
    <t>EAS002460</t>
  </si>
  <si>
    <t>COM006607</t>
  </si>
  <si>
    <t>EAS002437</t>
  </si>
  <si>
    <t>COM006587</t>
  </si>
  <si>
    <t xml:space="preserve"> EAS002656</t>
  </si>
  <si>
    <t>COM007234</t>
  </si>
  <si>
    <t>COM005759</t>
  </si>
  <si>
    <t>EAS002171</t>
  </si>
  <si>
    <t>FV PO
13780</t>
  </si>
  <si>
    <t>COM006022</t>
  </si>
  <si>
    <t>EAS002292</t>
  </si>
  <si>
    <t>ANDERSON LOAIZA RUIZ</t>
  </si>
  <si>
    <t>SEBASTIAN ARANGO CONDUCTOR</t>
  </si>
  <si>
    <t xml:space="preserve"> EAS002464</t>
  </si>
  <si>
    <t>FV POS 15820</t>
  </si>
  <si>
    <t>AUTOBITS</t>
  </si>
  <si>
    <t>COM007050</t>
  </si>
  <si>
    <t>EAS002361</t>
  </si>
  <si>
    <t>COM006242</t>
  </si>
  <si>
    <t>2026-02-03 14:07</t>
  </si>
  <si>
    <t xml:space="preserve"> B86899440</t>
  </si>
  <si>
    <t xml:space="preserve"> 2026-08-15 17:15:00</t>
  </si>
  <si>
    <t xml:space="preserve"> CIVITATIS TOURS SL.</t>
  </si>
  <si>
    <t>COM006806</t>
  </si>
  <si>
    <t>EAS002313</t>
  </si>
  <si>
    <t xml:space="preserve"> EAS002214</t>
  </si>
  <si>
    <t>COM006639 COM006634 COM006636
COM006637</t>
  </si>
  <si>
    <t xml:space="preserve"> EAS002331</t>
  </si>
  <si>
    <t>K</t>
  </si>
  <si>
    <t>EAS002396</t>
  </si>
  <si>
    <t>COM006415</t>
  </si>
  <si>
    <t>COM006969</t>
  </si>
  <si>
    <t>COM006156</t>
  </si>
  <si>
    <t>COM005764</t>
  </si>
  <si>
    <t>EAS002349</t>
  </si>
  <si>
    <t xml:space="preserve"> 2026-08-09 14:00:00</t>
  </si>
  <si>
    <t>COM007358</t>
  </si>
  <si>
    <t>FV POS
138073</t>
  </si>
  <si>
    <t xml:space="preserve"> FV POS 15829</t>
  </si>
  <si>
    <t xml:space="preserve"> EAS002694</t>
  </si>
  <si>
    <t>COM006335</t>
  </si>
  <si>
    <t>COM006702</t>
  </si>
  <si>
    <t>EAS002378</t>
  </si>
  <si>
    <t>COM007280</t>
  </si>
  <si>
    <t>INGRESADO EN WORD OFFICE</t>
  </si>
  <si>
    <t>TRASLADO HTLES QUINDIO CASCO URBANO - HACIA MUNICIPIO MONTENEGRO VICEVERSA (1 TRAYECTO)</t>
  </si>
  <si>
    <t>EAS002360</t>
  </si>
  <si>
    <t>COM006237</t>
  </si>
  <si>
    <t>COM006406</t>
  </si>
  <si>
    <t>EAS002320</t>
  </si>
  <si>
    <t>COM006974</t>
  </si>
  <si>
    <t xml:space="preserve"> EAS002518, EAS001935</t>
  </si>
  <si>
    <t>ADICIONAL POR HTLES QUINDIO UBICADO EN ZONA RURAL</t>
  </si>
  <si>
    <t xml:space="preserve"> FV POS 15827 </t>
  </si>
  <si>
    <t>COM005898</t>
  </si>
  <si>
    <t>COM006407</t>
  </si>
  <si>
    <t>EAS002312</t>
  </si>
  <si>
    <t>COM007206</t>
  </si>
  <si>
    <t>EAS002203, EAS002270</t>
  </si>
  <si>
    <t>FV POS 
138198</t>
  </si>
  <si>
    <t>COM006435</t>
  </si>
  <si>
    <t>EAS002387</t>
  </si>
  <si>
    <t>COM006440</t>
  </si>
  <si>
    <t xml:space="preserve">COM006635 </t>
  </si>
  <si>
    <t xml:space="preserve">EAS002446 </t>
  </si>
  <si>
    <t>DISPONIBILIDAD QUINDIO (8H) - FAM TRIP</t>
  </si>
  <si>
    <t>COM006963</t>
  </si>
  <si>
    <t>EAS002513</t>
  </si>
  <si>
    <t>COM006446</t>
  </si>
  <si>
    <t>CONSIGNADO</t>
  </si>
  <si>
    <t xml:space="preserve"> EAS002392</t>
  </si>
  <si>
    <t xml:space="preserve"> JORMAN ALEXIS GOMEZ HERNANDEZ</t>
  </si>
  <si>
    <t xml:space="preserve"> 2026-03-15 13:30:00</t>
  </si>
  <si>
    <t>EAS002357</t>
  </si>
  <si>
    <t>COM006538</t>
  </si>
  <si>
    <t>TRANSPORTE EXCURSIÓN FILANDIA, SALENTO Y VALLE DE COCORA EN DUSTER-ARMENIA</t>
  </si>
  <si>
    <t>COM006959</t>
  </si>
  <si>
    <t>COM005903</t>
  </si>
  <si>
    <t xml:space="preserve">  EAS002547</t>
  </si>
  <si>
    <t>FV POS 15801</t>
  </si>
  <si>
    <t>FV POS 
13868</t>
  </si>
  <si>
    <t>COM006470</t>
  </si>
  <si>
    <t xml:space="preserve"> EAS002407</t>
  </si>
  <si>
    <t xml:space="preserve"> ESCUELA AVES SALENTO S.A.S.</t>
  </si>
  <si>
    <t xml:space="preserve">COM006228 </t>
  </si>
  <si>
    <t xml:space="preserve"> 2026-03-16 13:30:00</t>
  </si>
  <si>
    <t>EAS002358</t>
  </si>
  <si>
    <t>TRANSFER IN</t>
  </si>
  <si>
    <t>FV POS 15750</t>
  </si>
  <si>
    <t>COM006479</t>
  </si>
  <si>
    <t>COM006756</t>
  </si>
  <si>
    <t xml:space="preserve"> EAS002408</t>
  </si>
  <si>
    <t>EAS002336</t>
  </si>
  <si>
    <t xml:space="preserve"> ASISTENTE VIRTUAL</t>
  </si>
  <si>
    <t xml:space="preserve"> 2026-03-20 10:00:00</t>
  </si>
  <si>
    <t>JORGE LEONARDO VELASQUEZ CHICA</t>
  </si>
  <si>
    <t>FV POS 15907</t>
  </si>
  <si>
    <t>COM006492</t>
  </si>
  <si>
    <t xml:space="preserve"> EAS002420</t>
  </si>
  <si>
    <t>COM007008</t>
  </si>
  <si>
    <t xml:space="preserve"> 2026-03-23 10:20:00</t>
  </si>
  <si>
    <t>EAS002506</t>
  </si>
  <si>
    <t>FV POS 15957</t>
  </si>
  <si>
    <t>EAS002310</t>
  </si>
  <si>
    <t>COM006592</t>
  </si>
  <si>
    <t>COM007014</t>
  </si>
  <si>
    <t>EAS002609</t>
  </si>
  <si>
    <t>TRANSFER OUT</t>
  </si>
  <si>
    <t>FV POS 15991</t>
  </si>
  <si>
    <t>COM005908</t>
  </si>
  <si>
    <t>COM006508</t>
  </si>
  <si>
    <t>EAS002258, EAS002232, EAS002290, EAS002039</t>
  </si>
  <si>
    <t xml:space="preserve"> EAS002439</t>
  </si>
  <si>
    <t xml:space="preserve">FV POS
13880 </t>
  </si>
  <si>
    <t xml:space="preserve"> 2026-03-26 13:30:00</t>
  </si>
  <si>
    <t xml:space="preserve">enero 11,000 de fiferencia de lo facturado a lo pagado </t>
  </si>
  <si>
    <t>COM007019</t>
  </si>
  <si>
    <t>VALOR GUIANZA</t>
  </si>
  <si>
    <t>FV POS 16005</t>
  </si>
  <si>
    <t>EAS002372</t>
  </si>
  <si>
    <t>COM006302</t>
  </si>
  <si>
    <t>COM006533</t>
  </si>
  <si>
    <t>DINERO ENREGADOS EN TRANSFERENCIA BANCARIA</t>
  </si>
  <si>
    <t xml:space="preserve"> EAS002424</t>
  </si>
  <si>
    <t>DINERO A PAGAR DE EAS AL GUIA</t>
  </si>
  <si>
    <t>DINERO A JUSTIFICAR CON CUENTA DE COBRO</t>
  </si>
  <si>
    <t>COM006765</t>
  </si>
  <si>
    <t xml:space="preserve"> 2026-03-30 13:30:00</t>
  </si>
  <si>
    <t>VALOR A PAGAR</t>
  </si>
  <si>
    <t>EAS002186</t>
  </si>
  <si>
    <t>N° RECIBOS</t>
  </si>
  <si>
    <t>BITACORA</t>
  </si>
  <si>
    <t>FV POS 16002</t>
  </si>
  <si>
    <t>RECIBOS</t>
  </si>
  <si>
    <t>FOTOGRAFIAS O VIDEO TESTIMONIAL</t>
  </si>
  <si>
    <t>TIEMPO DE DEMORA EN ENTREGA DE INFORME</t>
  </si>
  <si>
    <t>CUENTA DE COBRO</t>
  </si>
  <si>
    <t>COM006561</t>
  </si>
  <si>
    <t>DISTINTIVO</t>
  </si>
  <si>
    <t>COM007035</t>
  </si>
  <si>
    <t xml:space="preserve"> EAS002426</t>
  </si>
  <si>
    <t>CALIFICACION</t>
  </si>
  <si>
    <t>EAS002596</t>
  </si>
  <si>
    <t>OBSERVACIONES DE PAGO AC</t>
  </si>
  <si>
    <t xml:space="preserve"> 2026-03-31 13:30:00</t>
  </si>
  <si>
    <t>FECHA PAGO</t>
  </si>
  <si>
    <t>COM005920</t>
  </si>
  <si>
    <t>FV POS 16017</t>
  </si>
  <si>
    <t>COM006711</t>
  </si>
  <si>
    <t>FVPOS
14325</t>
  </si>
  <si>
    <t xml:space="preserve"> EAS002432</t>
  </si>
  <si>
    <t>COM007096</t>
  </si>
  <si>
    <t>EAS002495</t>
  </si>
  <si>
    <t xml:space="preserve"> 2026-03-29 13:30:00</t>
  </si>
  <si>
    <t>FV POS 16070</t>
  </si>
  <si>
    <t>COM005925</t>
  </si>
  <si>
    <t xml:space="preserve">COM006112 </t>
  </si>
  <si>
    <t>FV POS
14047</t>
  </si>
  <si>
    <t>COT002296</t>
  </si>
  <si>
    <t>EAS002657</t>
  </si>
  <si>
    <t>COM007228</t>
  </si>
  <si>
    <t>FV POS 16037</t>
  </si>
  <si>
    <t>ALVARO LOZANO RODRÍGUEZ - FINCA GALLEGO</t>
  </si>
  <si>
    <t>01082026 CDC GUIANZA JORGE LEONARDO CHICA $205000 COM007228.docx</t>
  </si>
  <si>
    <t>COM007052</t>
  </si>
  <si>
    <t>ARIEL GUERRERO CORREA</t>
  </si>
  <si>
    <t>EAS002597</t>
  </si>
  <si>
    <t>COM005935</t>
  </si>
  <si>
    <t>EAS002273, EAS002263</t>
  </si>
  <si>
    <t>FV POS 
14138</t>
  </si>
  <si>
    <t>COM007172</t>
  </si>
  <si>
    <t xml:space="preserve"> EAS002642</t>
  </si>
  <si>
    <t>FV POS 16108</t>
  </si>
  <si>
    <t>COM005946</t>
  </si>
  <si>
    <t>COM007109</t>
  </si>
  <si>
    <t>EAS002309, EAS002174, EAS002107</t>
  </si>
  <si>
    <t>FV POS
13994</t>
  </si>
  <si>
    <t xml:space="preserve"> EAS002504, EAS002623, EAS002650</t>
  </si>
  <si>
    <t xml:space="preserve">FV POS 16165 </t>
  </si>
  <si>
    <t>COM005883</t>
  </si>
  <si>
    <t>01082026 FV 3379 COOTRACOCORA PASAJES $120000 COM007227.jpeg</t>
  </si>
  <si>
    <t>COM007177</t>
  </si>
  <si>
    <t>EAS002642</t>
  </si>
  <si>
    <t>FV POS 16146</t>
  </si>
  <si>
    <t>EAS002328</t>
  </si>
  <si>
    <t>COM006134</t>
  </si>
  <si>
    <t>Nombre Cliente (Reserva)</t>
  </si>
  <si>
    <t>EL PAGA EN EFECTIVO $189.000  POR PARTE DE PABLO A USTEDES Y NOSOTROS TE DEBEMOS $36.000 (PENDIENTE CUENTA DE COBRO)</t>
  </si>
  <si>
    <t>COM007114</t>
  </si>
  <si>
    <t>COM006119</t>
  </si>
  <si>
    <t>EAS002581</t>
  </si>
  <si>
    <t>EAS002327</t>
  </si>
  <si>
    <t>BITACORA GUIANZA JORGE LEONARDO CHICA EAS002657.ogg</t>
  </si>
  <si>
    <t>FV POS
14162</t>
  </si>
  <si>
    <t>COM006574</t>
  </si>
  <si>
    <t xml:space="preserve"> EAS002416</t>
  </si>
  <si>
    <t xml:space="preserve"> COLOMBIA MEMORIES</t>
  </si>
  <si>
    <t>OK</t>
  </si>
  <si>
    <t>POS-16213</t>
  </si>
  <si>
    <t xml:space="preserve"> 2026-04-02 14:00:00</t>
  </si>
  <si>
    <t>0 DÍA</t>
  </si>
  <si>
    <t>NO REPORTA</t>
  </si>
  <si>
    <t>COM006153</t>
  </si>
  <si>
    <t>EAS002435</t>
  </si>
  <si>
    <t>COM006517</t>
  </si>
  <si>
    <t>COM006577</t>
  </si>
  <si>
    <t xml:space="preserve"> EAS002440</t>
  </si>
  <si>
    <t xml:space="preserve"> 2026-04-03 13:30:00</t>
  </si>
  <si>
    <t>COM005962</t>
  </si>
  <si>
    <t xml:space="preserve"> EAS002713, EAS002283</t>
  </si>
  <si>
    <t>COM007363</t>
  </si>
  <si>
    <t>EAS002346
EAS002104
EAS002299</t>
  </si>
  <si>
    <t>12082026 CDC 64 GUIANZA JORGE CHICA $187000 COM007363</t>
  </si>
  <si>
    <t>COM006596</t>
  </si>
  <si>
    <t>FV POS 
14242</t>
  </si>
  <si>
    <t xml:space="preserve"> EAS002318</t>
  </si>
  <si>
    <t xml:space="preserve"> 2026-04-01 12:30:00</t>
  </si>
  <si>
    <t>COM006703</t>
  </si>
  <si>
    <t>COM005967</t>
  </si>
  <si>
    <t>EAS002472</t>
  </si>
  <si>
    <t>EAS002284</t>
  </si>
  <si>
    <t>COM006598</t>
  </si>
  <si>
    <t xml:space="preserve"> EAS002452</t>
  </si>
  <si>
    <t>POS-16245</t>
  </si>
  <si>
    <t>FV POS
14244</t>
  </si>
  <si>
    <t xml:space="preserve"> VENTAS DIRECTAS</t>
  </si>
  <si>
    <t xml:space="preserve"> 2026-04-01 21:30:00</t>
  </si>
  <si>
    <t>TRANSPORTE DESDE HTLES PEREIRA HACIA TERMALES DE SANTA ROSA DE CABAL (IDA Y REGRESO)</t>
  </si>
  <si>
    <t>COM006142</t>
  </si>
  <si>
    <t>EAS002344</t>
  </si>
  <si>
    <t>FV POS 
142652</t>
  </si>
  <si>
    <t>COM006603</t>
  </si>
  <si>
    <t xml:space="preserve"> EAS002333</t>
  </si>
  <si>
    <t>COM005930</t>
  </si>
  <si>
    <t>EAS002278</t>
  </si>
  <si>
    <t xml:space="preserve"> 2026-04-06 13:30:00</t>
  </si>
  <si>
    <t>FV POS
14084</t>
  </si>
  <si>
    <t>12082026 FV POS 3345 JEEP WILLYS COTRACOCORA $210000 COM007363.jpeg</t>
  </si>
  <si>
    <t>COM006622</t>
  </si>
  <si>
    <t>COM007124</t>
  </si>
  <si>
    <t xml:space="preserve"> EAS002450</t>
  </si>
  <si>
    <t>EAS002607</t>
  </si>
  <si>
    <t>COM005977</t>
  </si>
  <si>
    <t xml:space="preserve"> 2026-04-22 13:30:00</t>
  </si>
  <si>
    <t>POS-16267</t>
  </si>
  <si>
    <t>EAS002206,EAS001989</t>
  </si>
  <si>
    <t>COM006671</t>
  </si>
  <si>
    <t xml:space="preserve"> EAS002462</t>
  </si>
  <si>
    <t xml:space="preserve"> TURINET CUZCO</t>
  </si>
  <si>
    <t xml:space="preserve"> 2026-04-13 11:25:00</t>
  </si>
  <si>
    <t>FV POS 14345</t>
  </si>
  <si>
    <t>COM006676</t>
  </si>
  <si>
    <t>BITACORA JORGE CHICA  EAS002713, EAS002283.ogg</t>
  </si>
  <si>
    <t xml:space="preserve"> 2026-04-14 10:00:00</t>
  </si>
  <si>
    <t>COM006759</t>
  </si>
  <si>
    <t xml:space="preserve"> EAS002480</t>
  </si>
  <si>
    <t xml:space="preserve"> 2026-04-24 13:30:00</t>
  </si>
  <si>
    <t>COM006192</t>
  </si>
  <si>
    <t>EAS002352</t>
  </si>
  <si>
    <t>POS-16329</t>
  </si>
  <si>
    <t>SI</t>
  </si>
  <si>
    <t>1 DIA</t>
  </si>
  <si>
    <t>COM005982</t>
  </si>
  <si>
    <t>EAS002267</t>
  </si>
  <si>
    <t>FV POS 14351</t>
  </si>
  <si>
    <t xml:space="preserve"> EAS002529</t>
  </si>
  <si>
    <t>COM007378</t>
  </si>
  <si>
    <t>14082026 CDC 65 GUIANZA JORGE CHICA $187000 COM007378</t>
  </si>
  <si>
    <t>COM005987</t>
  </si>
  <si>
    <t>COM007140</t>
  </si>
  <si>
    <t>EAS002585</t>
  </si>
  <si>
    <t>EAS00265,EAS002092, EAS002148</t>
  </si>
  <si>
    <t>POS-16417</t>
  </si>
  <si>
    <t>FV POS 14381</t>
  </si>
  <si>
    <t>COM007145</t>
  </si>
  <si>
    <t>POS-16399</t>
  </si>
  <si>
    <t>COM007119</t>
  </si>
  <si>
    <t>EAS002554</t>
  </si>
  <si>
    <t>14082026 FE POS 3401 JEEP WILLYS $115800 COM007378.jpeg</t>
  </si>
  <si>
    <t>POS-16418</t>
  </si>
  <si>
    <t>COM007211</t>
  </si>
  <si>
    <t>EAS002566</t>
  </si>
  <si>
    <t>COM005992</t>
  </si>
  <si>
    <t>PEDIDO 17006</t>
  </si>
  <si>
    <t>EAS002161</t>
  </si>
  <si>
    <t>FV POS 14375-</t>
  </si>
  <si>
    <t>BITACORA JORGE CHICA COM7378</t>
  </si>
  <si>
    <t>COM007150</t>
  </si>
  <si>
    <t>EAS00263</t>
  </si>
  <si>
    <t xml:space="preserve"> P 17007 </t>
  </si>
  <si>
    <t>COM006007</t>
  </si>
  <si>
    <t>FV POS 14306</t>
  </si>
  <si>
    <t>COM007384</t>
  </si>
  <si>
    <t>15082026 ODC GUIANZA JORGE VELASQUEZ CHICA $ 180000 COM007384.docx</t>
  </si>
  <si>
    <t>COM006206</t>
  </si>
  <si>
    <t>COM006087</t>
  </si>
  <si>
    <t xml:space="preserve"> PLANIFICADOR DE VIAJES ONLINE S.L</t>
  </si>
  <si>
    <t>EAS002339</t>
  </si>
  <si>
    <t xml:space="preserve"> EAS002304</t>
  </si>
  <si>
    <t>FV POS 14328</t>
  </si>
  <si>
    <t xml:space="preserve"> 2026-05-16 13:00:00</t>
  </si>
  <si>
    <t>TRASLADO HTLES QUINDIO HACIA FINCA CINCO CACAO  - PIJAO - REGRESAN  AL ALOJAMIENTO</t>
  </si>
  <si>
    <t xml:space="preserve">SALDO A FAVOR </t>
  </si>
  <si>
    <t>ok</t>
  </si>
  <si>
    <t>N/A</t>
  </si>
  <si>
    <t>BITACORA JORGE CHICA COM73784 EAS002633</t>
  </si>
  <si>
    <t>COM006724</t>
  </si>
  <si>
    <t xml:space="preserve"> 2026-05-26 13:30:00</t>
  </si>
  <si>
    <t>0 DIA</t>
  </si>
  <si>
    <t>COM006787</t>
  </si>
  <si>
    <t xml:space="preserve"> EAS002479</t>
  </si>
  <si>
    <t xml:space="preserve"> 2026-05-01 13:30:00</t>
  </si>
  <si>
    <t>COM005997</t>
  </si>
  <si>
    <t xml:space="preserve"> EAS002245</t>
  </si>
  <si>
    <t>FV POS
14396</t>
  </si>
  <si>
    <t>COM006794</t>
  </si>
  <si>
    <t xml:space="preserve"> BEYOND COLOMBIA BC  S.A.S</t>
  </si>
  <si>
    <t xml:space="preserve"> EAS002497</t>
  </si>
  <si>
    <t xml:space="preserve"> 2026-05-03 13:30:00</t>
  </si>
  <si>
    <t>COM007397</t>
  </si>
  <si>
    <t>16082026 CDC GUIANZA JORGE CHICA $195000 COM007397.docx</t>
  </si>
  <si>
    <t>COM006831</t>
  </si>
  <si>
    <t xml:space="preserve"> BEYOND COLOMBIA BC  S.A.S, VENTAS DIRECTAS</t>
  </si>
  <si>
    <t xml:space="preserve"> EAS002511, EAS002512</t>
  </si>
  <si>
    <t xml:space="preserve"> ESCUELA AVES SALENTO S.A.S., ESCUELA AVES SALENTO S.A.S.</t>
  </si>
  <si>
    <t xml:space="preserve"> 2026-05-14 13:00:00, 2026-05-14 13:00:00</t>
  </si>
  <si>
    <t>COM006849</t>
  </si>
  <si>
    <t xml:space="preserve"> EAS002492</t>
  </si>
  <si>
    <t>COM006002</t>
  </si>
  <si>
    <t xml:space="preserve"> 2026-05-16 21:30:00</t>
  </si>
  <si>
    <t>EAS002343, EAS002004</t>
  </si>
  <si>
    <t>COM006862</t>
  </si>
  <si>
    <t xml:space="preserve"> EAS002524</t>
  </si>
  <si>
    <t>FV POS
14935</t>
  </si>
  <si>
    <t xml:space="preserve"> 2026-05-21 13:15:00</t>
  </si>
  <si>
    <t>DINERO A DESCONTAR DEL ENTREGADO</t>
  </si>
  <si>
    <t>COM006863</t>
  </si>
  <si>
    <t xml:space="preserve"> EAS002527</t>
  </si>
  <si>
    <t>16082026 FE POS 3405 COOTRACOCORA $210000 COM007397.jpeg</t>
  </si>
  <si>
    <t xml:space="preserve"> 2026-05-22 13:30:00</t>
  </si>
  <si>
    <t>COM006874</t>
  </si>
  <si>
    <t xml:space="preserve"> EAS002183</t>
  </si>
  <si>
    <t xml:space="preserve"> 2026-05-23 13:00:00</t>
  </si>
  <si>
    <t>COM006895</t>
  </si>
  <si>
    <t xml:space="preserve"> TANGOL TOURS LATAM SRL</t>
  </si>
  <si>
    <t xml:space="preserve"> 2026-05-29 13:30:00</t>
  </si>
  <si>
    <t>COM006039</t>
  </si>
  <si>
    <t>EAS002264</t>
  </si>
  <si>
    <t>FV POS 
14689</t>
  </si>
  <si>
    <t>BITACORA JORGE CHICA EAS002331.ogg</t>
  </si>
  <si>
    <t>EAS002508</t>
  </si>
  <si>
    <t>COM006815</t>
  </si>
  <si>
    <t>PENALIDAD</t>
  </si>
  <si>
    <t>COM006034</t>
  </si>
  <si>
    <t>EAS002312
EAS002274</t>
  </si>
  <si>
    <t>FV POS 
146369</t>
  </si>
  <si>
    <t>COM006023</t>
  </si>
  <si>
    <t>FV POS 
14556</t>
  </si>
  <si>
    <t>COM007409</t>
  </si>
  <si>
    <t>16082026 CDC 68 GUIANZA JORGE CHICA $195000 COM007397.docx</t>
  </si>
  <si>
    <t>COM006292</t>
  </si>
  <si>
    <t>BITACORA JORGE CHICA EAS002069.ogg</t>
  </si>
  <si>
    <t>FV POS 
145346</t>
  </si>
  <si>
    <t>EAS002308</t>
  </si>
  <si>
    <t>COM006658</t>
  </si>
  <si>
    <t>COM006044</t>
  </si>
  <si>
    <t>EAS002255</t>
  </si>
  <si>
    <t>FV POS
14670</t>
  </si>
  <si>
    <t>COM006227</t>
  </si>
  <si>
    <t xml:space="preserve"> EAS002358</t>
  </si>
  <si>
    <t>ESTÁ COBRANDO $195000 EN LA ODC Tiene viaticos de 22000</t>
  </si>
  <si>
    <t xml:space="preserve"> 2026-06-10 13:30:00</t>
  </si>
  <si>
    <t>EAS002380</t>
  </si>
  <si>
    <t>COM006346</t>
  </si>
  <si>
    <t>24082026 CDC GUIANZA JORGE CHICA COM006346.docx</t>
  </si>
  <si>
    <t>COM006028</t>
  </si>
  <si>
    <t>EAS002320
EAS002132
EAS002162</t>
  </si>
  <si>
    <t>COM006823</t>
  </si>
  <si>
    <t>FV POS 
14596</t>
  </si>
  <si>
    <t xml:space="preserve"> RESPONSIBLE TRAVEL SAS</t>
  </si>
  <si>
    <t xml:space="preserve"> EAS002509</t>
  </si>
  <si>
    <t>08 MAYO</t>
  </si>
  <si>
    <t xml:space="preserve"> 2026-06-26 14:00:00</t>
  </si>
  <si>
    <t>COM006906</t>
  </si>
  <si>
    <t xml:space="preserve"> EAS002526</t>
  </si>
  <si>
    <t xml:space="preserve"> 2026-06-04 13:30:00</t>
  </si>
  <si>
    <t>COM006437</t>
  </si>
  <si>
    <t>24082026 FE POS 3285 COOTRACOCORA $36000 COM007321.jpeg</t>
  </si>
  <si>
    <t>COM006924</t>
  </si>
  <si>
    <t>FV POS
14715</t>
  </si>
  <si>
    <t xml:space="preserve"> 2026-06-11 13:30:00</t>
  </si>
  <si>
    <t>COM006970</t>
  </si>
  <si>
    <t xml:space="preserve"> EAS002518</t>
  </si>
  <si>
    <t xml:space="preserve"> 2026-06-17 13:15:00</t>
  </si>
  <si>
    <t>BITACORA JORGE CHICA EAS002380.ogg</t>
  </si>
  <si>
    <t>COM006975</t>
  </si>
  <si>
    <t xml:space="preserve"> EAS001935</t>
  </si>
  <si>
    <t xml:space="preserve"> ANGIE KATERINE LOAIZA CALLE</t>
  </si>
  <si>
    <t xml:space="preserve"> 2026-06-17 21:00:00</t>
  </si>
  <si>
    <t>COM006049</t>
  </si>
  <si>
    <t>COM006976</t>
  </si>
  <si>
    <t>EAS002129</t>
  </si>
  <si>
    <t xml:space="preserve"> EAS002590</t>
  </si>
  <si>
    <t>FV POS
147135</t>
  </si>
  <si>
    <t xml:space="preserve"> 2026-06-18 18:00:00</t>
  </si>
  <si>
    <t>COM006982</t>
  </si>
  <si>
    <t xml:space="preserve"> EAS002079</t>
  </si>
  <si>
    <t xml:space="preserve"> 2026-06-20 13:00:00</t>
  </si>
  <si>
    <t>BITACORA JORGE LEONARDO CHICA EAS002308.ogg</t>
  </si>
  <si>
    <t>COM006983</t>
  </si>
  <si>
    <t xml:space="preserve"> EAS002568</t>
  </si>
  <si>
    <t xml:space="preserve"> 2026-06-21 13:00:00</t>
  </si>
  <si>
    <t>JOSE MIGUEL RAMIREZ GIRALDO</t>
  </si>
  <si>
    <t>COM006466</t>
  </si>
  <si>
    <t>EAS002405</t>
  </si>
  <si>
    <t>COM006994</t>
  </si>
  <si>
    <t>FV POS 
14795</t>
  </si>
  <si>
    <t xml:space="preserve"> 2026-06-23 17:30:00</t>
  </si>
  <si>
    <t>COM007013</t>
  </si>
  <si>
    <t xml:space="preserve"> EAS002604</t>
  </si>
  <si>
    <t xml:space="preserve"> 2026-06-28 13:00:00</t>
  </si>
  <si>
    <t>TRANSPORTE</t>
  </si>
  <si>
    <t>COM006064</t>
  </si>
  <si>
    <t>EAS002364
EAS001507</t>
  </si>
  <si>
    <t>FV POS
15335</t>
  </si>
  <si>
    <t>EAS002511</t>
  </si>
  <si>
    <t>COM006458</t>
  </si>
  <si>
    <t>COM006834</t>
  </si>
  <si>
    <t>EAS002399
EAS002340</t>
  </si>
  <si>
    <t>FV POS 
14814</t>
  </si>
  <si>
    <t>COM006780</t>
  </si>
  <si>
    <t>COM006059</t>
  </si>
  <si>
    <t>BITACORA GUIANZA JORGE LEONARDO VELASQUEZ CHICA EAS002511.ogg</t>
  </si>
  <si>
    <t>04082026 CDC GUIANZA JOSE MIGUEL RAMIREZ $300000 COM006780.docx</t>
  </si>
  <si>
    <t>EAS002214
EAS002403
EAS002404</t>
  </si>
  <si>
    <t>FV POS
14768</t>
  </si>
  <si>
    <t>COM006455</t>
  </si>
  <si>
    <t>EAS002401</t>
  </si>
  <si>
    <t>FV POS
14753</t>
  </si>
  <si>
    <t>PENDIENTE</t>
  </si>
  <si>
    <t>COM006445</t>
  </si>
  <si>
    <t>EAS002392</t>
  </si>
  <si>
    <t>FV POS
14738</t>
  </si>
  <si>
    <t>BITACORA GUIANZA JOSE MIGUEL RAMIREZ EAS002447.mp4</t>
  </si>
  <si>
    <t>COM006512</t>
  </si>
  <si>
    <t>EAS002428</t>
  </si>
  <si>
    <t>FV POS
15455</t>
  </si>
  <si>
    <t>COM006084</t>
  </si>
  <si>
    <t>15052026 FV 3063 COOTRACOCORA LTDA $210000 COM006083.jpeg</t>
  </si>
  <si>
    <t>COM006502</t>
  </si>
  <si>
    <t>EAS002409</t>
  </si>
  <si>
    <t>FV POS
154305</t>
  </si>
  <si>
    <t>BITACORA GUIANZA JORGE LEONARDO VELASQUEZ CHICA EAS002304.ogg</t>
  </si>
  <si>
    <t>COM006593</t>
  </si>
  <si>
    <t xml:space="preserve"> EAS002310, EAS002330, EAS002458</t>
  </si>
  <si>
    <t>COM007091</t>
  </si>
  <si>
    <t>FV POS
15146</t>
  </si>
  <si>
    <t>2 DÍA</t>
  </si>
  <si>
    <t>20082026 CDC 78 GUIANZA JOSE MIGUEL RAMIREZ $195000 COM007091.docx</t>
  </si>
  <si>
    <t>COM006726</t>
  </si>
  <si>
    <t>26052026 CDC GUIANZA JORGE LEONARDO CHICA VELASQUEZ $175000 COM006726.docx</t>
  </si>
  <si>
    <t xml:space="preserve">20082026 FV 3426 COOTRACOCORA JEEP WILLYS $240000 	COM007090	</t>
  </si>
  <si>
    <t>BITACORA GUIANZA JORGE CHICA EAS002326.ogg</t>
  </si>
  <si>
    <t>COM006588</t>
  </si>
  <si>
    <t xml:space="preserve"> EAS002437</t>
  </si>
  <si>
    <t>FV POS
15145</t>
  </si>
  <si>
    <t xml:space="preserve"> BITACORA GUIANZA JOSE MIGUEL RAMIREZ COT002481.mp4</t>
  </si>
  <si>
    <t xml:space="preserve">1 DÍA </t>
  </si>
  <si>
    <t>1 DÍA</t>
  </si>
  <si>
    <t>COM006869</t>
  </si>
  <si>
    <t>COM006604</t>
  </si>
  <si>
    <t>22052026 CDC GUIANZA JORGE LEONARDO CHICA VELASQUEZ $165000.docx</t>
  </si>
  <si>
    <t>FV POS
15149</t>
  </si>
  <si>
    <t>COM006566</t>
  </si>
  <si>
    <t>EAS002318, EAS002438, EAS002390</t>
  </si>
  <si>
    <t>FV POS
15041</t>
  </si>
  <si>
    <t>22052026 FV 3086 COOTRACOCORA PASAJES PUBLICOS $210000.jpeg</t>
  </si>
  <si>
    <t>COM006539</t>
  </si>
  <si>
    <t>FV POS
15078</t>
  </si>
  <si>
    <t>PAGADO 7/04/2026</t>
  </si>
  <si>
    <t>BITACORA GUIANZA JORGE CHICA  EAS002183.ogg</t>
  </si>
  <si>
    <t>COM006578</t>
  </si>
  <si>
    <t>FV POS
15107</t>
  </si>
  <si>
    <t xml:space="preserve"> EAS002550, EAS002531</t>
  </si>
  <si>
    <t>COM006884</t>
  </si>
  <si>
    <t>02062026 CDC 53 GUIANZA JORGE LEONARDO CHICA $190000 COM006884.docx</t>
  </si>
  <si>
    <t>JOSE ROMEL DUQUE</t>
  </si>
  <si>
    <t>COM006293</t>
  </si>
  <si>
    <t>FV POS
14913</t>
  </si>
  <si>
    <t>2 JUNIO</t>
  </si>
  <si>
    <t>COM006416</t>
  </si>
  <si>
    <t>FV POS 15147</t>
  </si>
  <si>
    <t>BITACORA GUIANZA JORGE LEONARDO CHICA 0EAS002550, EAS002531.ogg</t>
  </si>
  <si>
    <t>COM006080</t>
  </si>
  <si>
    <t>EAS002041</t>
  </si>
  <si>
    <t>FV POS
15025</t>
  </si>
  <si>
    <t>6239/6080/6238</t>
  </si>
  <si>
    <t>COM006727</t>
  </si>
  <si>
    <t>16062026 CDC GUIANZA JORGE LEONARDO CHICA $187000 COM006727.docx</t>
  </si>
  <si>
    <t>COM006385</t>
  </si>
  <si>
    <t>EAS002388</t>
  </si>
  <si>
    <t>FV POS
14999</t>
  </si>
  <si>
    <t>16062026 FV 3149 COOTRACOCORA $36000 COM006730.jpeg</t>
  </si>
  <si>
    <t>BITACORA GUIANZA JORGE CHICA  EAS002464.ogg</t>
  </si>
  <si>
    <t>COM006685</t>
  </si>
  <si>
    <t>EAS002470</t>
  </si>
  <si>
    <t>FV POS 15254</t>
  </si>
  <si>
    <t>EAS002476</t>
  </si>
  <si>
    <t>COM006708</t>
  </si>
  <si>
    <t>COM006618</t>
  </si>
  <si>
    <t>11062026 CDC 54 GUIANZA JORGE LEONARDO CHICA VELASQUEZ $187000 COM006708.docx</t>
  </si>
  <si>
    <t>FV POS 15245</t>
  </si>
  <si>
    <t>11062026 FV 3131 JORGE CHICA COOTRACOCORA PASAJES $94500 COM006707.jpeg</t>
  </si>
  <si>
    <t>BITACORA GUIANZA JORGE CHICA EAS002476.ogg</t>
  </si>
  <si>
    <t xml:space="preserve">SALDO A ABRIL </t>
  </si>
  <si>
    <t>COM006673</t>
  </si>
  <si>
    <t>EAS002462</t>
  </si>
  <si>
    <t>FV POS 15237</t>
  </si>
  <si>
    <t xml:space="preserve"> EAS002577</t>
  </si>
  <si>
    <t>COM006989</t>
  </si>
  <si>
    <t xml:space="preserve">DIEGO ALEJANDRO SERNA GALVIS </t>
  </si>
  <si>
    <t>22062026 CDC 57 GUIANZA JORGE LEONARDO CHICA VELASQUEZ $165000 COM006989.docx</t>
  </si>
  <si>
    <t>COM006669</t>
  </si>
  <si>
    <t>EAS002469</t>
  </si>
  <si>
    <t>FV POS 15236</t>
  </si>
  <si>
    <t>COM006613</t>
  </si>
  <si>
    <t>EAS002456</t>
  </si>
  <si>
    <t>FV POS 15211</t>
  </si>
  <si>
    <t>22062026 FV 3160 COOTRACOCORA $120000 COM006988.jpeg</t>
  </si>
  <si>
    <t>COM006390</t>
  </si>
  <si>
    <t>EAS002391</t>
  </si>
  <si>
    <t>FV POS 15178</t>
  </si>
  <si>
    <t xml:space="preserve">COM007331	</t>
  </si>
  <si>
    <t>BITACORA GUIANZA JORGE LEONARDO VELASQUEZ CHICA  EAS002577.ogg</t>
  </si>
  <si>
    <t>VIATICOS DE TRANSPORTE</t>
  </si>
  <si>
    <t>COM006608</t>
  </si>
  <si>
    <t>FV POS 15162</t>
  </si>
  <si>
    <t xml:space="preserve"> EAS002134, EAS002509, EAS002593</t>
  </si>
  <si>
    <t>COM006821</t>
  </si>
  <si>
    <t>COM006238</t>
  </si>
  <si>
    <t xml:space="preserve">      COM007370</t>
  </si>
  <si>
    <t>24062026 CDC 58 GUIANZA JORGE LEONARDO CHICA VELASQUEZ $207000 COM0006821.docx</t>
  </si>
  <si>
    <t>FV POS 15046</t>
  </si>
  <si>
    <t>COM006404</t>
  </si>
  <si>
    <t>EAS002394</t>
  </si>
  <si>
    <t>FV POS 15371</t>
  </si>
  <si>
    <t>BITACORA GUIANZA JORGE LEONARDO CHICA  EAS002134, EAS002509, EAS002593.ogg</t>
  </si>
  <si>
    <t>BLANEY ARISTIZABAL</t>
  </si>
  <si>
    <t>COM006551</t>
  </si>
  <si>
    <t>EAS002446</t>
  </si>
  <si>
    <t>FV POS 15876</t>
  </si>
  <si>
    <t>EAS002507</t>
  </si>
  <si>
    <t>COM007028</t>
  </si>
  <si>
    <t>03072026 CDC 57 GUIANZA JORGE LEONARDO CHICA $185000 COM007028.docx</t>
  </si>
  <si>
    <t>COM006712</t>
  </si>
  <si>
    <t>EAS002466</t>
  </si>
  <si>
    <t>FV POS 15347</t>
  </si>
  <si>
    <t>COM006303</t>
  </si>
  <si>
    <t>03 JULIO</t>
  </si>
  <si>
    <t>FV POS 15353</t>
  </si>
  <si>
    <t>BITACORA GUIANZA JORGE LEONARDO CHICA  EAS002507.ogg</t>
  </si>
  <si>
    <t>EAS002574</t>
  </si>
  <si>
    <t>COM007044</t>
  </si>
  <si>
    <t>07062026 CDC 58 GUIANZA JORGE LEONARDO CHICA $180000 COM007044.docx</t>
  </si>
  <si>
    <t>COM006623</t>
  </si>
  <si>
    <t>EAS002450</t>
  </si>
  <si>
    <t xml:space="preserve"> FV POS 15321</t>
  </si>
  <si>
    <t>07072026 FV 3219 COOTRACOCORA $120000 	COM007041 COM007042	COM007043	 .jpeg</t>
  </si>
  <si>
    <t>JAIRO ALONSO PINO  SEPULVEDA</t>
  </si>
  <si>
    <t xml:space="preserve"> EAS002468</t>
  </si>
  <si>
    <t>COM007133</t>
  </si>
  <si>
    <t>24072026 CDC 59 GUIANZA JORGE LEONARDO CHICA $185000 COM007133.docx</t>
  </si>
  <si>
    <t>COM007249</t>
  </si>
  <si>
    <t>04082026 CDC 054 GUIANZA JAIRO ALONSO PINO SEPULVEDAD $202500 COM007249.pdf</t>
  </si>
  <si>
    <t>24072026 CD 3030 RESERVA NATURAL ACAIME $40000 COM007130.jpegk
24072026 FV 3285 COOTRACOCORA $36000 COM007132.jpeg</t>
  </si>
  <si>
    <t>03082026 FV JORGE HERNANDO CASTAÑO $15500 	COM007323	se le pago al guia solo $12000.jpeg</t>
  </si>
  <si>
    <t>BITACORA GUIANZA JORGE LEONARDO CHICA EAS002468.ogg</t>
  </si>
  <si>
    <t>BITACORA GUIANZA JAIRO ALONSO PINO EAS002686.ogg</t>
  </si>
  <si>
    <t>ESTA COBRANDO DOS MIL PESOS DE MAS</t>
  </si>
  <si>
    <t>COM007259</t>
  </si>
  <si>
    <t>04082026 CDC 55 GUIANZA JAIRO ALONSO PINO SEPULVEDA $197000 COM007259.pdf</t>
  </si>
  <si>
    <t>04082026 FV 3301 COOTRACOCORA PASAJES PUBLICO $48000 COM007324.jpeg</t>
  </si>
  <si>
    <t>COM006843</t>
  </si>
  <si>
    <t>BITACORA GUIANZA JAIRO ALONSO PINO No EAS002602, EAS002622, EAS002177, EAS002688, EAS002384..ogg</t>
  </si>
  <si>
    <t xml:space="preserve"> EAS001936, EAS002060, EAS002204</t>
  </si>
  <si>
    <t>COM005652</t>
  </si>
  <si>
    <t>16052026 CDC GUIANZA JOSE MIGUEL RAMIREZ $175000 COM006843.docx</t>
  </si>
  <si>
    <t>EAS002643, EAS002620, EAS2699</t>
  </si>
  <si>
    <t>COM007279</t>
  </si>
  <si>
    <t>06082026 CDC 56 GUIANZA JAIRO PINO COM007279.pdf</t>
  </si>
  <si>
    <t>02 ENERO</t>
  </si>
  <si>
    <t>BITACORA GUIANZA JOSE MIGUEL RAMIREZ EAS002515.jpeg</t>
  </si>
  <si>
    <t>06082026 FV POS 3315JEEP WILLYS COOTRACOCORA $120000 JAIRO PINO COM007279.jpeg</t>
  </si>
  <si>
    <t>el tiene un dinero que recogio de la empresa</t>
  </si>
  <si>
    <t>BITACORA JAIRO PINO EAS002688 EAS002177.ogg</t>
  </si>
  <si>
    <t>Civitatis_2pax_33292612_EAS001936</t>
  </si>
  <si>
    <t xml:space="preserve"> EAS002547</t>
  </si>
  <si>
    <t>COM006901</t>
  </si>
  <si>
    <t>15062026 CDC 71 GUIANZA JOSE MIGUEL RAMIREZ $300000 COM006901.docx</t>
  </si>
  <si>
    <t>5 DIAS</t>
  </si>
  <si>
    <t>EAS002561, EAS002510.</t>
  </si>
  <si>
    <t>COM007302</t>
  </si>
  <si>
    <t>07082026 CDC GUIANZA JAIRO PINO COM007302.pdf</t>
  </si>
  <si>
    <t>0 DIAS</t>
  </si>
  <si>
    <t>07082026 FV POS 3316 JEEP WILLYS COOTRACOCORA JAIRO PINO $48000.jpeg</t>
  </si>
  <si>
    <t>COM005827</t>
  </si>
  <si>
    <t>15062026 FV 3147 JOSE MIGUEL RAMIREZ PASAJES JEEP WILLYS COOTRACOCORA $132000 COM006900.pdf</t>
  </si>
  <si>
    <t>BITACORA JAIRO EAS002561 EAS002510.ogg</t>
  </si>
  <si>
    <t xml:space="preserve"> BITACORA GUIANZA JOSE MIGUEL RAMIREZ COM006901  EAS002547.mp4</t>
  </si>
  <si>
    <t>NO</t>
  </si>
  <si>
    <t>GYG_3PAX_GYGLMR7VLZW9_EAS002246</t>
  </si>
  <si>
    <t>4 DÍAS</t>
  </si>
  <si>
    <t>Llega tarde 20 minutos</t>
  </si>
  <si>
    <t>COM007315</t>
  </si>
  <si>
    <t>08082026 CDC 58 GUIANZA JAIRO PINO EAS002705 COM007315.pdf</t>
  </si>
  <si>
    <t xml:space="preserve"> EAS002552, EAS002560</t>
  </si>
  <si>
    <t>COM006954</t>
  </si>
  <si>
    <t>14062026 CDC 70 GUIANZA JOSE MIGUEL RAMIREZ $211800 COM006955 .docx</t>
  </si>
  <si>
    <t>CALIFICACIÓN 2</t>
  </si>
  <si>
    <t xml:space="preserve"> BITACORA GUIANZA JOSE MIGUEL RAMIREZ EAS002552, EAS002560.mp4</t>
  </si>
  <si>
    <t>EAS002192</t>
  </si>
  <si>
    <t>COM005748</t>
  </si>
  <si>
    <t>3 DIAS</t>
  </si>
  <si>
    <t>Una de las señoras perdio el monedero y finalizaron tarde</t>
  </si>
  <si>
    <t>Civitatis_1PAX_35713841_EAS002192</t>
  </si>
  <si>
    <t>EAS002580</t>
  </si>
  <si>
    <t>COM007321</t>
  </si>
  <si>
    <t>COM006967</t>
  </si>
  <si>
    <t>17062026 CDC 72 GUIANZA JOS EMIGUEL RAMIREZ GIRALDO $213000 COM006967.docx</t>
  </si>
  <si>
    <t>09082026 FE POS 3326 COOTRACOCORA $36000 COM007321.jpeg</t>
  </si>
  <si>
    <t xml:space="preserve"> BITACORA GUIANZA JOSE MIGUEL RAMIREZ EAS002569.mp4</t>
  </si>
  <si>
    <t>BITACORA JAIRO PINO EAS002580.ogg</t>
  </si>
  <si>
    <t>COM005855</t>
  </si>
  <si>
    <t>CIV_2pax_36319707_EAS002259</t>
  </si>
  <si>
    <t>2 DÍAS</t>
  </si>
  <si>
    <t>EAS002528
EAS002359</t>
  </si>
  <si>
    <t>COM007017</t>
  </si>
  <si>
    <t>EAS002029</t>
  </si>
  <si>
    <t>COM007404</t>
  </si>
  <si>
    <t>02072026 CDC 73 GUIANZA JOSE MIGUEL RAMIREZ $207000 COM007017.docx</t>
  </si>
  <si>
    <t>18082026 CDC 60 GUIANZA JAIRO PINO COM007404.pdf</t>
  </si>
  <si>
    <t>COM005783</t>
  </si>
  <si>
    <t>SUPER</t>
  </si>
  <si>
    <t>Civitatis_2PAX_35500069_EAS002169</t>
  </si>
  <si>
    <t xml:space="preserve"> BITACORA GUIANZA JOSE MIGUEL RAMIREZ  EAS002359, EAS002528.mp4</t>
  </si>
  <si>
    <t>18082026 FV POS 3412 JEEP WILLYS COOTRACOCORA.jpeg</t>
  </si>
  <si>
    <t>BITÁCORA JAIRO PINO EAS002029.ogg</t>
  </si>
  <si>
    <t>COM007099</t>
  </si>
  <si>
    <t>09072026 CDC 75 GUIANZA JOSE MIGUEL RAMIREZ $195000 COM007099.docx</t>
  </si>
  <si>
    <t>EAS001567
EAS002307</t>
  </si>
  <si>
    <t>COM005940</t>
  </si>
  <si>
    <t>6 DÍAS</t>
  </si>
  <si>
    <t>05022026 FV 2892 ACAIEM $60.000 COM005942.jpeg</t>
  </si>
  <si>
    <t xml:space="preserve"> BITACORA GUIANZA JOSE MIGUEL RAMIREZ EAS002495.mp4</t>
  </si>
  <si>
    <t>GERMAN CHICA</t>
  </si>
  <si>
    <t>COM007038</t>
  </si>
  <si>
    <t>05072026 CDC GUIANZA JOSE MIGUEL RAMIREZ  $195000 COM007038.docx</t>
  </si>
  <si>
    <t>05022026 BITACORA JORGE LEONARDO COM005940 EAS001567.ogg</t>
  </si>
  <si>
    <t>Pendiente</t>
  </si>
  <si>
    <t>COM007230</t>
  </si>
  <si>
    <t xml:space="preserve"> BITACORA GUIANZA JOSE MIGUEL RAMIREZ  EAS002617, EAS002596.mp4</t>
  </si>
  <si>
    <t>01082026 CDC GUIANZA GERMAN DARIO GALLEGO CHICA $180000 COM007230.pdf</t>
  </si>
  <si>
    <t>EAS002555 / EAS002588</t>
  </si>
  <si>
    <t>COM007138</t>
  </si>
  <si>
    <t>25072026 CDC GUIANZA JOSE MIGUEL RAMIREZ $185000 COM007138.docx</t>
  </si>
  <si>
    <t>BITACORA GUIANZA GERMAN DARIO GALLEGO CHICA  EAS002652.ogg</t>
  </si>
  <si>
    <t>COM005931</t>
  </si>
  <si>
    <t>09022026 FV 2683 COOTRACOCORA $24.000 COM005929.jpeg</t>
  </si>
  <si>
    <t>25072026 REC FRUITSLACT $21400 COM007310 + $15000 COM007311	.docx</t>
  </si>
  <si>
    <t>4 DÍA</t>
  </si>
  <si>
    <t xml:space="preserve"> BITACORA GUIANZA JOSE MIGUEL RAMIREZ EAS002555 EAS002588.mp4</t>
  </si>
  <si>
    <t>04022026 BITACORA GUIANZA JORGE LEONARDO EAS002278.ogg</t>
  </si>
  <si>
    <t>EAS002694</t>
  </si>
  <si>
    <t xml:space="preserve">	COM007337	</t>
  </si>
  <si>
    <t>0 DÍAS</t>
  </si>
  <si>
    <t>BITACORA GERMAN DARIO CHICA EAS002694.ogg</t>
  </si>
  <si>
    <t>COM006131</t>
  </si>
  <si>
    <t>16 FEBRERO JORGE LEONARDO CHICA COM006131 EAS002334.ogg</t>
  </si>
  <si>
    <t>11 DÍA</t>
  </si>
  <si>
    <t>COM006824</t>
  </si>
  <si>
    <t>ELIANA MABELLI RAMIREZ SANCHEZ</t>
  </si>
  <si>
    <t>COM005968</t>
  </si>
  <si>
    <t>17 FEBRERO JORGE LEONARDO CHICA COM005968 EAS002284.ogg</t>
  </si>
  <si>
    <t>14052026 FV 3061 COOTRACOCORA $60000 COM006826.jpeg</t>
  </si>
  <si>
    <t xml:space="preserve">OK </t>
  </si>
  <si>
    <t>EAS002342</t>
  </si>
  <si>
    <t xml:space="preserve">COM006176        </t>
  </si>
  <si>
    <t>BITACORA GUIANZA JOSE ROMEL DUQUE EAS002498.ogg</t>
  </si>
  <si>
    <t>JULIAN ARRUBLA VELEZ</t>
  </si>
  <si>
    <t>BITACORA GUIANZA JORGE LEONARDO VELASQUEZ CHICA COM006176 EAS002342.ogg</t>
  </si>
  <si>
    <t>EAS002487</t>
  </si>
  <si>
    <t>COM006836</t>
  </si>
  <si>
    <t xml:space="preserve">NO </t>
  </si>
  <si>
    <t>EAS002354</t>
  </si>
  <si>
    <t>COM006198</t>
  </si>
  <si>
    <t>15052026 FV 1052 COOTRACOCORA $36000 COM006835.jpeg</t>
  </si>
  <si>
    <t xml:space="preserve">EAS002682 </t>
  </si>
  <si>
    <t>BITACORA 25/02/2026 JORGE LEONARDO VELASQUEZ CHICA EAS002354.ogg</t>
  </si>
  <si>
    <t>COM007264</t>
  </si>
  <si>
    <t>CDC No. 20</t>
  </si>
  <si>
    <t>BITACORA GUIANZA JOSE ROMEL DUQUE EAS002487.ogg</t>
  </si>
  <si>
    <t>04082026 CD 3046 RESERVA NATURAL ACAIME $40000 COM007261.jpeg</t>
  </si>
  <si>
    <t>EAS002375</t>
  </si>
  <si>
    <t xml:space="preserve">COM006320      COM006321  </t>
  </si>
  <si>
    <t xml:space="preserve"> EAS002514</t>
  </si>
  <si>
    <t>COM007003</t>
  </si>
  <si>
    <t>BITACORA GUIANZA JULIAN ARRUBLA EAS002682.ogg</t>
  </si>
  <si>
    <t>BITACORA GUIANZA JORGE LEONARDO VELASQUEZ CHICA COM006320  EAS002375.ogg</t>
  </si>
  <si>
    <t>25062026 CD 2990 RESERVA NATURAL ACAIME $40000.jpeg</t>
  </si>
  <si>
    <t>2 DIAS</t>
  </si>
  <si>
    <t xml:space="preserve">NO REPORTA </t>
  </si>
  <si>
    <t>EAS002386</t>
  </si>
  <si>
    <t>COM006381</t>
  </si>
  <si>
    <t>BITACORA GUIANZA JOSE ROMEL  EAS002514.ogg</t>
  </si>
  <si>
    <t>10/032026</t>
  </si>
  <si>
    <t>MARZO</t>
  </si>
  <si>
    <t>CDC No. 19</t>
  </si>
  <si>
    <t>EAS002377
EAS002398</t>
  </si>
  <si>
    <t>COM006423</t>
  </si>
  <si>
    <t>IMPERSA</t>
  </si>
  <si>
    <t>BITACORA 11/03/2026 JORGE LEONARDO VELASQUEZ CHICA EAS002377.ogg</t>
  </si>
  <si>
    <t>01082026 FV FPOS 60675 JORGE HERNANDO CASTAÑO GIRALDO $2600 COM007296.jpeg
01082026 RC 8000 TOURS FRUTAS $8000 	COM007297.jpeg</t>
  </si>
  <si>
    <t>COM006111</t>
  </si>
  <si>
    <t>06072026 CDC 8 GUIANZA JOSE ROMEL DUQUE $165000 COM006111.jpeg</t>
  </si>
  <si>
    <t xml:space="preserve">0 DIAS </t>
  </si>
  <si>
    <t>BITACORA GUIANZA JULIAN ARRUBLA EAS002386.ogg</t>
  </si>
  <si>
    <t>06072026 TIQUETE $24000 COM006115.jpeg</t>
  </si>
  <si>
    <t>BITACORA GUIANZA JOSE ROMEL DUQUE COT002296.ogg</t>
  </si>
  <si>
    <t>COM006454</t>
  </si>
  <si>
    <t>BITACORA 16032026 	JORGE LEONARDO VELASQUEZ CHICA EAS002401.ogg</t>
  </si>
  <si>
    <t xml:space="preserve">	COM007078	</t>
  </si>
  <si>
    <t>CDC No. 21</t>
  </si>
  <si>
    <t>05082026 FV 3399 COOTRACOCORA $36000 COM007077.jpeg</t>
  </si>
  <si>
    <t>En trasporte debiamos consignar 94.500 y solo se consigno 94.000</t>
  </si>
  <si>
    <t>BITACORA GUIANZA JULIAN ARRUBLA  EAS002628.ogg</t>
  </si>
  <si>
    <t>EAS002433</t>
  </si>
  <si>
    <t>COM006499</t>
  </si>
  <si>
    <t>COM006788</t>
  </si>
  <si>
    <t>BITACORA 24032026 JORGE LEONARDO VELASQUEZ CHICA EAS002433.ogg</t>
  </si>
  <si>
    <t>GUIA - CONDUCTOR</t>
  </si>
  <si>
    <t xml:space="preserve"> EAS002663, EAS002661, EAS002453</t>
  </si>
  <si>
    <t>COM007307</t>
  </si>
  <si>
    <t>07082026 CDC 22 GUIANZA JULIAN ARRUBLA $202000 COM007307.pdf</t>
  </si>
  <si>
    <t>BITACORA GUIANZA DIEGO ALEJANDRO SERNA GALVIS EAS002479.ogg</t>
  </si>
  <si>
    <t>BITACORA GUIANZA JULIAN ARRUBLA VELEZ EAS002663.ogg</t>
  </si>
  <si>
    <t>EAS002429</t>
  </si>
  <si>
    <t>COM006521</t>
  </si>
  <si>
    <t>MAYO</t>
  </si>
  <si>
    <t>BITACORA 28032026 JORGE LEONARDO CHICA 	EAS002429.ogg</t>
  </si>
  <si>
    <t xml:space="preserve">COM006797 </t>
  </si>
  <si>
    <t>COM007328</t>
  </si>
  <si>
    <t>09082026 CDC GUIANZA JULIAN ARRUBLA VELEZ $212000 COM007328.pdf</t>
  </si>
  <si>
    <t>BITACORA GUIIANZA DIEGO ALEJANDRO SERNA EAS002497.ogg</t>
  </si>
  <si>
    <t>EAS002402</t>
  </si>
  <si>
    <t>COM006528</t>
  </si>
  <si>
    <t>BITACORA GUIANZA JULIAN ARRUBLA  EAS002491.ogg</t>
  </si>
  <si>
    <t>EAS002490
EAS002381</t>
  </si>
  <si>
    <t>BITACORA 30032026 JORGE LEONARDO CHICA EAS002402.ogg</t>
  </si>
  <si>
    <t>COM006351</t>
  </si>
  <si>
    <t xml:space="preserve">0 DÍA </t>
  </si>
  <si>
    <t>JUAN DAVID VILLA CASTAÑO</t>
  </si>
  <si>
    <t>EAS002477
EAS002467</t>
  </si>
  <si>
    <t>COM006720</t>
  </si>
  <si>
    <t>a chica se le consiganarron $138.000 para tres persoans una de las tres perosnas no fueron asi que no se gasto 12.000 del willys, $10.000 del porton y $20.000 ENTRADA RESERVA ACAIME asi que el guia debe entegrar $42.000</t>
  </si>
  <si>
    <t>EAS002501
EAS002294</t>
  </si>
  <si>
    <t>COM006652</t>
  </si>
  <si>
    <t>BITACORA GUIANZA DIEGO ALEJANDRO SERN GALVIS.ogg</t>
  </si>
  <si>
    <t>EAS002318</t>
  </si>
  <si>
    <t>1RA NOMINA DE JUNIO</t>
  </si>
  <si>
    <t>COM006567</t>
  </si>
  <si>
    <t xml:space="preserve">CAMILO MOLINA </t>
  </si>
  <si>
    <t>BITACORA GUIANZA JORGE LEOANRDO CHICA EAS002390 EAS002438 EAS002318.ogg</t>
  </si>
  <si>
    <t>COM006851</t>
  </si>
  <si>
    <t>EAS002622, EAS002384, EAS002602</t>
  </si>
  <si>
    <t>COM007309</t>
  </si>
  <si>
    <t>CDC No. 0018</t>
  </si>
  <si>
    <t>BITACORA GUIANZA DIEGO ALEJANDRO SERN GALVIS EAS002489.ogg</t>
  </si>
  <si>
    <t>04082026 FV POS JORGE HERNANDO CASTIÑO GIRALDO $14300 COM007309.jpeg</t>
  </si>
  <si>
    <t>Envio la cuenta de cobro por $200.000 y el valor de la guianza es de $185.000 se le consiganaron $150.000 para el transporte pero  no le dieron factura, el cual es nene y se le ha estado solicitando. (YA ENVIARON LA FACTURA LA COM006565)</t>
  </si>
  <si>
    <t>ABRIL</t>
  </si>
  <si>
    <t xml:space="preserve"> BITACORA GUIANZA CAMILO MOLINA EAS002622 EAS002384 EAS002602.mp4</t>
  </si>
  <si>
    <t>EAS002520</t>
  </si>
  <si>
    <t>COM006856</t>
  </si>
  <si>
    <t>BITACORA GUIANZA DIEGO ALEJANDRO SERN GALVIS EAS002520.ogg</t>
  </si>
  <si>
    <t>COM006391</t>
  </si>
  <si>
    <t>05082026 CDC GUIANZA CAMILO ANDRES MOLINA CORTES $202400.pdf</t>
  </si>
  <si>
    <t>8 ABRIL</t>
  </si>
  <si>
    <t>Su ausencia de informar a tiempo un contratiempo en el vehiculo ocasiono una posible multa de $1500000</t>
  </si>
  <si>
    <t>COM006864</t>
  </si>
  <si>
    <t>BITACORA GUIANZA DIEGO ALEJANDRO SERNA EAS002527.ogg</t>
  </si>
  <si>
    <t>ANDRES FELIPE HURTADO GARCES</t>
  </si>
  <si>
    <t>BITACORA JORGE CHICA 	EAS002391 08042026 .ogg</t>
  </si>
  <si>
    <t>EAS002526</t>
  </si>
  <si>
    <t>COM006905</t>
  </si>
  <si>
    <t>COM007239</t>
  </si>
  <si>
    <t>02082026 CDC 01  GUIANZA ANDRES FELIPE HURTADO GARCES $187000 COM007239.docx</t>
  </si>
  <si>
    <t>BITACORA GUIANZA DIEGO ALEJANDRO SERNA EAS002526.ogg</t>
  </si>
  <si>
    <t>EAS002486</t>
  </si>
  <si>
    <t>COM006774</t>
  </si>
  <si>
    <t>02082026 JORGE HERNANDO CASTAÑO GIRALDO 27600 COM007330.pdf</t>
  </si>
  <si>
    <t xml:space="preserve">COM006912	</t>
  </si>
  <si>
    <t>26 ABRIL</t>
  </si>
  <si>
    <t>BITACORA GUIANZA ANDRES FELIPE HURTADO GARCES  EAS002681, EAS002656.ogg</t>
  </si>
  <si>
    <t xml:space="preserve">4 DÍA </t>
  </si>
  <si>
    <t>COM006229</t>
  </si>
  <si>
    <t>NATALIA GARCIA GONZALEZ</t>
  </si>
  <si>
    <t>BITACORA GUIANZA JORGE CHICA EAS002486.ogg</t>
  </si>
  <si>
    <t>COM007390</t>
  </si>
  <si>
    <t>18082026 CDC 001 GUIANZA NATALIA GARCIA GONZALEZ $600000 COM007390 COM006947.pdf</t>
  </si>
  <si>
    <t xml:space="preserve"> EAS002556</t>
  </si>
  <si>
    <t>COM006912</t>
  </si>
  <si>
    <t>BITACORA GUIANZA NATALIA EAS002696.ogg</t>
  </si>
  <si>
    <t>COM006916</t>
  </si>
  <si>
    <t>BITACORA GUIANZA DIEGO ALEJANDRO SERNA COM006916.ogg</t>
  </si>
  <si>
    <t>22082026 CDC TRANSPORTE NATALIA GARCIA $524000 COM006946 COM007389.pdf</t>
  </si>
  <si>
    <t>NO TIENE</t>
  </si>
  <si>
    <t>COM006947</t>
  </si>
  <si>
    <t>BITACORA GUIANZA NATALIA EAS002572.ogg</t>
  </si>
  <si>
    <t xml:space="preserve">son los valores que esta en este color los que coiciden con contabilidad </t>
  </si>
  <si>
    <t>1RA NOMINA DE AGOSTO</t>
  </si>
  <si>
    <t>6 DÍA</t>
  </si>
  <si>
    <t>COM006923</t>
  </si>
  <si>
    <t>DAWIN GUSTAVO CASTRILLÓN JARAMILLO</t>
  </si>
  <si>
    <t xml:space="preserve">Nota: kathe registra en word office consiganciones a jorge 4.245.500 de enero a marzo y en cruce de cuentas da el mismo valor </t>
  </si>
  <si>
    <t xml:space="preserve"> EAS002551</t>
  </si>
  <si>
    <t>COM006934</t>
  </si>
  <si>
    <t>Jorge tiene una diferencia de 5 mil pesos en autobits OK</t>
  </si>
  <si>
    <t xml:space="preserve"> EAS002701</t>
  </si>
  <si>
    <t>COM007408</t>
  </si>
  <si>
    <t>20082026 ODC GUIANZA DAWIN CASTRILLON $200000 COM007408.jpeg</t>
  </si>
  <si>
    <t>20082026 RC 036  RESTAURANTE CUMANDAY $102000 COM007405.pdf</t>
  </si>
  <si>
    <t xml:space="preserve"> EAS001935, EAS002518</t>
  </si>
  <si>
    <t>COM006971</t>
  </si>
  <si>
    <t>BITACORA GUIANZA DIEGO ALEJANDRO SERNA GALVIS  EAS001935, EAS002518.ogg</t>
  </si>
  <si>
    <t>BITCORA DAWING  CASTRILLON EAS002701.ogg</t>
  </si>
  <si>
    <t>EAS002079
EAS002519
EAS002079</t>
  </si>
  <si>
    <t xml:space="preserve">        COM006741        </t>
  </si>
  <si>
    <t>MONICA MARCELA MORALES HURTADO</t>
  </si>
  <si>
    <t>EAS002189, EAS002254</t>
  </si>
  <si>
    <t>COM005692</t>
  </si>
  <si>
    <t>EAS002591
EAS002559</t>
  </si>
  <si>
    <t>COM006986</t>
  </si>
  <si>
    <t>06 ENERO</t>
  </si>
  <si>
    <t xml:space="preserve">COM007416
</t>
  </si>
  <si>
    <t>19082026 CDC 02 GUIANZA MONICA MARCELA MORALES HURTADO $165000 COM007416.docx</t>
  </si>
  <si>
    <t xml:space="preserve">COM007012 </t>
  </si>
  <si>
    <t>BITACORA GUIANZA DIEGO ALEJANDRO SERNA GALVIS EAS002506.ogg</t>
  </si>
  <si>
    <t>19082026 FV 3414 COOTRACOCORA $120000 COM007415.jpeg</t>
  </si>
  <si>
    <t>COM006767</t>
  </si>
  <si>
    <t>RECIBO EN FISICO</t>
  </si>
  <si>
    <t>BITACORA GUIANZA MONICA MARCELA EAS002666.ogg</t>
  </si>
  <si>
    <t>BITACORA GUIANZA DIEGO ALEJANDRO SERNA EAS002186.ogg</t>
  </si>
  <si>
    <t>19082026 FV 3419 COOTRACOCORA $54000 COM007415.jpeg</t>
  </si>
  <si>
    <t xml:space="preserve">ENERO </t>
  </si>
  <si>
    <t>COM005734</t>
  </si>
  <si>
    <t>COM007055</t>
  </si>
  <si>
    <t>DIEGO HUMBERTO ZAPATA GONZALEZ</t>
  </si>
  <si>
    <t>BITACORA GUIANZA DIEGO ALEJANDRO SERNA EAS002597.ogg</t>
  </si>
  <si>
    <t xml:space="preserve">COM006367 </t>
  </si>
  <si>
    <t>18082026 CDC 01 GUIANZA DIEGO HUMBERTO ZAPATA GONZALES $175000 COM006367.pdf</t>
  </si>
  <si>
    <t>EAS002603</t>
  </si>
  <si>
    <t>03/032026</t>
  </si>
  <si>
    <t xml:space="preserve">COM007107	</t>
  </si>
  <si>
    <t>EAS002132
EAS002162
EAS002320</t>
  </si>
  <si>
    <t>COM006029</t>
  </si>
  <si>
    <t>BITACORA GUIANZA DIEGO ALEJANDRO SERNA EAS002603.ogg</t>
  </si>
  <si>
    <t>BITACORA 03082026 JOSE MIGUEL RAMIREZ GIRALDO EAS002162 .mp4</t>
  </si>
  <si>
    <t>BITACORA DIEGO ZAPATA EAS002374.ogg</t>
  </si>
  <si>
    <t>COM007181</t>
  </si>
  <si>
    <t>BITACORA GUIANZA DIEGO ALEJANDRO SERNA EAS002642.ogg</t>
  </si>
  <si>
    <t xml:space="preserve">Cristian Mateo Ospina Montoya  
</t>
  </si>
  <si>
    <t>DINERO ENTREGADOS EN TRANSFERENCIA BANCARIA</t>
  </si>
  <si>
    <t>EAS002194 EAS002640 EAS002581</t>
  </si>
  <si>
    <t>COM007117</t>
  </si>
  <si>
    <t xml:space="preserve">COM006081        </t>
  </si>
  <si>
    <t>COM007235</t>
  </si>
  <si>
    <t>17082026 CDC GUIANZA CRISTIAN MATEO OSPINA $190000 COM007235.pdf</t>
  </si>
  <si>
    <t xml:space="preserve">PENDIENTE </t>
  </si>
  <si>
    <t xml:space="preserve"> BITACORA GUIANZA JOSE MIGUEL RAMIREZ EAS002041.mp4</t>
  </si>
  <si>
    <t>EAS002634 EAS002554</t>
  </si>
  <si>
    <t>COM007122</t>
  </si>
  <si>
    <t>15 DÍA</t>
  </si>
  <si>
    <t>EAS002658 EAS002607</t>
  </si>
  <si>
    <t xml:space="preserve">	COM007127	</t>
  </si>
  <si>
    <t>Esta reserva se ejecuto el 31 de marzo pero por autorizacion de andrea se pidio que se realizara la cuenta de cobro del 1 de abril, adeamas se le consigno $150.000 para transporte nene no ha enviado factura ni comprobantes (YA ENVIARON LA FACTURA ES LA COM006079)</t>
  </si>
  <si>
    <t>BITACORA GUIANZA DIEGO ALEJANDRO EAS002658 EAS002607.ogg</t>
  </si>
  <si>
    <t>COM006239</t>
  </si>
  <si>
    <t>BITACORA GUIANZA JOSE MIGUEL RAMIREZ EAS002360.mp4</t>
  </si>
  <si>
    <t xml:space="preserve">COM007144	</t>
  </si>
  <si>
    <t>BITACORA GUIANZA DIEGO ALEJANDRO EAS002585.ogg</t>
  </si>
  <si>
    <t>EAS002605</t>
  </si>
  <si>
    <t xml:space="preserve">COM007215	</t>
  </si>
  <si>
    <t>COM007158</t>
  </si>
  <si>
    <t>COM006540</t>
  </si>
  <si>
    <t>BITACORA GUIANZA DIEGO ALEJANDRO EAS002563.ogg</t>
  </si>
  <si>
    <t xml:space="preserve"> BITACORA GUIANZA JOSE  MIGUEL RAMIREZ EAS002357.mp4</t>
  </si>
  <si>
    <t>EAS002448
EAS002471</t>
  </si>
  <si>
    <t xml:space="preserve">COM006699	</t>
  </si>
  <si>
    <t>COM006609</t>
  </si>
  <si>
    <t>BITACORA JOSE MIGUEL RAMIREZ EAS002460 07042026 .mp4</t>
  </si>
  <si>
    <t xml:space="preserve"> EAS002373, EAS002524</t>
  </si>
  <si>
    <t>COM006309</t>
  </si>
  <si>
    <t>COM006552</t>
  </si>
  <si>
    <t>21052026 CDC 065 GUIANZA BLANEY ARISTIZABAL $170000 COM006309.docx</t>
  </si>
  <si>
    <t xml:space="preserve"> BITACORA GUIANZA JOSE MIGUEL RAMIREZ EAS002446.mp4</t>
  </si>
  <si>
    <t>BITACORA GUIANZA BLANEY ARISTIZABAL EAS002373, EAS002524.ogg</t>
  </si>
  <si>
    <t>COM006630</t>
  </si>
  <si>
    <t xml:space="preserve"> BITACORA GUIANZA JOSE MIGUEL EAS002313.mp4</t>
  </si>
  <si>
    <t>COM006960</t>
  </si>
  <si>
    <t>15062026 CDC 066 BLANEY ARISTIZABAL RINCON $207000 COM006960.docx</t>
  </si>
  <si>
    <t>1 DIAS</t>
  </si>
  <si>
    <t xml:space="preserve">Nota: kathe registra en word office consiganciones a jose miguel fueron de  709.000 de enero a marzo y en cruce de cuentas da el mismo valor </t>
  </si>
  <si>
    <t>BITACORA GUIANZA BLANEY ARISTIZABAL EAS002513.ogg</t>
  </si>
  <si>
    <t xml:space="preserve">Jose miguel coincide con autobits </t>
  </si>
  <si>
    <t>JAIRO ALONSO PINO SEPULVEDAD</t>
  </si>
  <si>
    <t xml:space="preserve"> EAS002595, EAS002336</t>
  </si>
  <si>
    <t>COM006757</t>
  </si>
  <si>
    <t>26062026 CDC 067 GUIANZA BLANEY ARISTIZABAL RINCON $195000 COM006757.docx</t>
  </si>
  <si>
    <t xml:space="preserve">DISTINTIVO </t>
  </si>
  <si>
    <t xml:space="preserve">CALIFICACION </t>
  </si>
  <si>
    <t>26062026 FV 3168 COOTRACOCORA $120000 COM006755.jpeg</t>
  </si>
  <si>
    <t>COM005833</t>
  </si>
  <si>
    <t>BITACORA GUIANZA BLANEY ARISTIZABAL  EAS002595, EAS002336.ogg</t>
  </si>
  <si>
    <t xml:space="preserve"> EAS002646, EAS002472</t>
  </si>
  <si>
    <t>COM006704</t>
  </si>
  <si>
    <t>17072026 CDC 068 GUIANZA BLANEY ARISTIZABAL $194500 COM006704.docx</t>
  </si>
  <si>
    <t>COM005839</t>
  </si>
  <si>
    <t>BITACORA GUIANZA BLANEY ARISTIZABAL  EAS002646, EAS002472.ogg</t>
  </si>
  <si>
    <t>COM005719</t>
  </si>
  <si>
    <t>Civitatis_2pax_34503282_EAS002067</t>
  </si>
  <si>
    <t>COM006897</t>
  </si>
  <si>
    <t>02062026 CDC No 49 GUIANZA JAIRO ALONSO PINO SEPULVEDA $166400 EAS002543.docx (1).pdf</t>
  </si>
  <si>
    <t>EAS002277</t>
  </si>
  <si>
    <t>COM005904</t>
  </si>
  <si>
    <t>BITACORA GUIANZA JAIRO ALONSO PINO EAS002543..ogg</t>
  </si>
  <si>
    <t>COM007023</t>
  </si>
  <si>
    <t>06072026 CDC No 50 CDC GUIANZA JAIRO ALONSO PINO $185000 COM007023.docx (1).pdf</t>
  </si>
  <si>
    <t>COM005915</t>
  </si>
  <si>
    <t>BITACORA GUIANZA JAIRO ALONSO PINO EAS002266.ogg</t>
  </si>
  <si>
    <t>03072026 FV 3197 COOTRACOCORA $120000 COM007022.jpeg</t>
  </si>
  <si>
    <t>BITACORA GUIANZA JAIRO ALONSO PINO EAS002609.ogg</t>
  </si>
  <si>
    <t>EAS002174
EAS002107
EAS002309</t>
  </si>
  <si>
    <t>COM005947</t>
  </si>
  <si>
    <t>05022026 BITACORA JAIRO PINO EAS002174 EAS002107 EAS002309.ogg</t>
  </si>
  <si>
    <t>EAS002639</t>
  </si>
  <si>
    <t>COM007175</t>
  </si>
  <si>
    <t>17072026 CDC 51 GUIANZA JAIRO ALONSO PINO SEPULVEDA $190500 COM007175.pdf</t>
  </si>
  <si>
    <t xml:space="preserve">FEBRERO 
</t>
  </si>
  <si>
    <t>12'072026 RC PANJI BAKER REFRIGERIO $12000 COM007187.jpeg</t>
  </si>
  <si>
    <t>COM006050</t>
  </si>
  <si>
    <t>BITACORA 13/03/2026 JAIRO ALONSO PINO SEPULVEDA EAS002129.ogg</t>
  </si>
  <si>
    <t>BITACORA GUIANZA JAIRO ALONSO PINO EAS002639.ogg</t>
  </si>
  <si>
    <t>5 DÍAS</t>
  </si>
  <si>
    <t>EAS002664</t>
  </si>
  <si>
    <t>COM007222</t>
  </si>
  <si>
    <t>31072026 CDC No 52 GUIANZA JAIRO ALONSO PINO $202000.pdf</t>
  </si>
  <si>
    <t>SALDO ANTERIOR AL NOVIEMBRE 2025</t>
  </si>
  <si>
    <t xml:space="preserve">EAS002247
EAS002394
</t>
  </si>
  <si>
    <t>COM006055</t>
  </si>
  <si>
    <t>ENTRADAS A FAVOR</t>
  </si>
  <si>
    <t>ENTRADAS A 31 DICIEMBRE 2025</t>
  </si>
  <si>
    <t>30 JULIO</t>
  </si>
  <si>
    <t>BITACORA 14032026 7 JAIRO ALONSO PINO SEPULVEDA EAS002247.ogg</t>
  </si>
  <si>
    <t>Comprador (Orden de Compra)</t>
  </si>
  <si>
    <t>BITACORA GUIANZA JAIRO ALONSO PINO EAS002664.ogg</t>
  </si>
  <si>
    <t>Cantidad</t>
  </si>
  <si>
    <t>901745336-5</t>
  </si>
  <si>
    <t>PARQUE NATURAL Y CULTURAL BOSQUE DE PALMAS SAS</t>
  </si>
  <si>
    <t>COM005648</t>
  </si>
  <si>
    <t>LAURA SOFIA CASTRO FUENTES</t>
  </si>
  <si>
    <t>EAS001936, EAS002204, EAS002060</t>
  </si>
  <si>
    <t>ANGIE KATERINE LOAIZA CALLE, LAURA SOFIA CASTRO FUENTES, ADRIANA MARÍA MUÑOZ BARRETO</t>
  </si>
  <si>
    <t>2026-01-02 14:00:00, 2026-01-02 14:00:00, 2026-01-02 14:00:00</t>
  </si>
  <si>
    <t>COM006444</t>
  </si>
  <si>
    <t>COM005676</t>
  </si>
  <si>
    <t>COM007148</t>
  </si>
  <si>
    <t>ESCUELA AVES SALENTO S.A.S., ESCUELA AVES SALENTO S.A.S.</t>
  </si>
  <si>
    <t>2026-01-03 14:00:00, 2026-01-03 14:00:00</t>
  </si>
  <si>
    <t>31072026 CDC No 52 GUIANZA JAIRO ALONSO PINO $216000 COM007148.pdf</t>
  </si>
  <si>
    <t>BITACORA 15032026 JAIRO ALONSO PINO  SEPULVEDA EAS002392.ogg</t>
  </si>
  <si>
    <t>COM005681</t>
  </si>
  <si>
    <t>EAS002199</t>
  </si>
  <si>
    <t>COM005824</t>
  </si>
  <si>
    <t>COM005829</t>
  </si>
  <si>
    <t xml:space="preserve"> 2026-01-04 14:00:00</t>
  </si>
  <si>
    <t>31082026 CDC No 18 GUIAZA JULIAN ARRUBLA $202000 COM007164.pdf</t>
  </si>
  <si>
    <t>COM005834</t>
  </si>
  <si>
    <t>COM006465</t>
  </si>
  <si>
    <t>COM005693</t>
  </si>
  <si>
    <t>EAS002187</t>
  </si>
  <si>
    <t>BITACORA GUIANZA JAIRO ALONSO PINO EAS002505.ogg</t>
  </si>
  <si>
    <t xml:space="preserve"> ASISTENTE VIRTUAL, ESCUELA AVES SALENTO S.A.S., ESCUELA AVES SALENTO S.A.S.</t>
  </si>
  <si>
    <t>BITACORA 18032026 JAIRO ALONSO PINO  SEPULVEDA  EAS002405 .ogg</t>
  </si>
  <si>
    <t>COM005687</t>
  </si>
  <si>
    <t>EAS002189</t>
  </si>
  <si>
    <t xml:space="preserve">3 DÍA </t>
  </si>
  <si>
    <t>COM005838</t>
  </si>
  <si>
    <t xml:space="preserve"> EAS002260</t>
  </si>
  <si>
    <t xml:space="preserve"> pino se le consigno $102.000 pero lo que realmente se gasto o debe reporta son $90.000  de la COM006464        y 24.000 de la COM006472 para un total de $114.000 en este orden de ideas se le quedaria debiendo $12.000 de transporte. y no se reporta viaticos ya que Diego negocio con el para rebajarlos </t>
  </si>
  <si>
    <t>2026-01-08 09:07</t>
  </si>
  <si>
    <t>UNIDADES DISPONIBLES AÑO 2026</t>
  </si>
  <si>
    <t>COM006510</t>
  </si>
  <si>
    <t xml:space="preserve">TOUR DE CAFE </t>
  </si>
  <si>
    <t>COM005715</t>
  </si>
  <si>
    <t>BITACORA 26032026 JAIRO ALONSO PINO SEPULVEDA EAS002428.ogg</t>
  </si>
  <si>
    <t>EAS002067, EAS002070, EAS002239</t>
  </si>
  <si>
    <t>ESCUELA AVES SALENTO S.A.S., ESCUELA AVES SALENTO S.A.S., ASISTENTE VIRTUAL</t>
  </si>
  <si>
    <t>2026-01-09 13:30:00, 2026-01-09 13:30:00, 2026-01-09 13:30:00</t>
  </si>
  <si>
    <t>FECHA</t>
  </si>
  <si>
    <t xml:space="preserve">ORDEN DE COMPRA </t>
  </si>
  <si>
    <t>COM005730</t>
  </si>
  <si>
    <t>EAS002082, EAS002265</t>
  </si>
  <si>
    <t>ESCUELA AVES SALENTO S.A.S., ASISTENTE VIRTUAL</t>
  </si>
  <si>
    <t>2026-01-11 12:40:00, 2026-01-11 12:40:00</t>
  </si>
  <si>
    <t xml:space="preserve">INGRESO </t>
  </si>
  <si>
    <t>EGRESO</t>
  </si>
  <si>
    <t>COM005740</t>
  </si>
  <si>
    <t xml:space="preserve"> EAS002400</t>
  </si>
  <si>
    <t>EAS002123, EAS002208</t>
  </si>
  <si>
    <t>COM006903</t>
  </si>
  <si>
    <t>ESCUELA AVES SALENTO S.A.S., LAURA SOFIA CASTRO FUENTES</t>
  </si>
  <si>
    <t>2026-01-12 13:30:00, 2026-01-12 13:30:00</t>
  </si>
  <si>
    <t>06062026 CDC GUIANZA GERMAN DARIO GALLEGO CHICA $180000 COM006903.pdf</t>
  </si>
  <si>
    <t xml:space="preserve">COM006386        </t>
  </si>
  <si>
    <t>COM005751</t>
  </si>
  <si>
    <t>BITACORA 29032026 JAIRO PINO EAS002388 .pdf</t>
  </si>
  <si>
    <t>COM005756</t>
  </si>
  <si>
    <t>ANDRES FELIPE VILLEGAS PELAEZ</t>
  </si>
  <si>
    <t>BITACORA GUIANZA GERMAN DARIO GALLEGO CHICA COM006903.ogg</t>
  </si>
  <si>
    <t xml:space="preserve">COM005869	</t>
  </si>
  <si>
    <t>COM005761</t>
  </si>
  <si>
    <t>EAS002424</t>
  </si>
  <si>
    <t xml:space="preserve">COM006535        </t>
  </si>
  <si>
    <t>COM005766</t>
  </si>
  <si>
    <t>3 DÍA</t>
  </si>
  <si>
    <t>EAS002198</t>
  </si>
  <si>
    <t>ENVIAR DISTINTIVO</t>
  </si>
  <si>
    <t>COM005853</t>
  </si>
  <si>
    <t>ASISTENTE VIRTUAL, ASISTENTE VIRTUAL</t>
  </si>
  <si>
    <t>EAS002269, EAS002275</t>
  </si>
  <si>
    <t>2026-01-18 13:30:00, 2026-01-18 13:30:00</t>
  </si>
  <si>
    <t>BITACORA JAIRO ALONSO PINO EAS002424 30/03/2026.ogg</t>
  </si>
  <si>
    <t>COM005867</t>
  </si>
  <si>
    <t>COM006121</t>
  </si>
  <si>
    <t>COM005875</t>
  </si>
  <si>
    <t>EAS002415</t>
  </si>
  <si>
    <t xml:space="preserve">COM006571        </t>
  </si>
  <si>
    <t>BITACORA JAIRO ALONSO PINO EAS002415 02/04/2026.ogg</t>
  </si>
  <si>
    <t>COT002509</t>
  </si>
  <si>
    <t xml:space="preserve">COM006995 </t>
  </si>
  <si>
    <t>COM006375</t>
  </si>
  <si>
    <t>COM005886</t>
  </si>
  <si>
    <t>23062026 CDC 53 GUIANZA ELIANA MABELLI SANCHEZ RAMIREZ $150000 COM006995 .docx</t>
  </si>
  <si>
    <t>COM005891</t>
  </si>
  <si>
    <t>EAS002279</t>
  </si>
  <si>
    <t>para ese dia, eran una familia de 5 personas dos de ellas no ingresaron a la reserva natura de acaime por eso le sobran $40.000 de ese dia, esta pendiente la factura de transporte (YA ENVIARON LA FACTURA DE TRANSPORTE COM006570)</t>
  </si>
  <si>
    <t>COM006453</t>
  </si>
  <si>
    <t>COM005896</t>
  </si>
  <si>
    <t>LAURA SOFIA CASTRO FUENTES, ASISTENTE VIRTUAL</t>
  </si>
  <si>
    <t>2026-01-26 13:30:00, 2026-01-26 13:30:00</t>
  </si>
  <si>
    <t xml:space="preserve"> EAS002355</t>
  </si>
  <si>
    <t>23062026 CDC 53 GUIANZA ELIANA MABELLI SANCHEZ RAMIREZ $45000 COM006994.docx</t>
  </si>
  <si>
    <t>COM006202</t>
  </si>
  <si>
    <t>COM005900</t>
  </si>
  <si>
    <t>BITACORA JAIRO ALOSNO PINO EAS002355 07042026.ogg</t>
  </si>
  <si>
    <t>COM005905</t>
  </si>
  <si>
    <t xml:space="preserve"> BITACORA GUIANZA ELIANA MACELLI COT002509</t>
  </si>
  <si>
    <t>ASISTENTE VIRTUAL, ASISTENTE VIRTUAL, ASISTENTE VIRTUAL, ANGIE KATERINE LOAIZA CALLE</t>
  </si>
  <si>
    <t>COM006462</t>
  </si>
  <si>
    <t>2026-01-28 13:20:00, 2026-01-28 13:20:00, 2026-01-28 13:20:00, 2026-01-28 13:20:00</t>
  </si>
  <si>
    <t>10 DÍAS</t>
  </si>
  <si>
    <t xml:space="preserve">COM006670        </t>
  </si>
  <si>
    <t>COM005911</t>
  </si>
  <si>
    <t>ENTRADAS BOSQUE DE PALMAS</t>
  </si>
  <si>
    <t>COM006469</t>
  </si>
  <si>
    <t>BITACORA  JARIO ALONSO PINO 13042026 BCBC_2PAX_EAS002469.ogg</t>
  </si>
  <si>
    <t>COM006478</t>
  </si>
  <si>
    <t xml:space="preserve"> EAS002549</t>
  </si>
  <si>
    <t>COM007103</t>
  </si>
  <si>
    <t>09072026 CDC 14 GUIANZA JULIAN ARRUBLA VELEZ $170000 COM007103.pdf</t>
  </si>
  <si>
    <t xml:space="preserve">COM006683        </t>
  </si>
  <si>
    <t>BITACORA JAIRO ALONSO PINO 15042026 T_tangol_1pax_ OW4240_EAS002470.ogg</t>
  </si>
  <si>
    <t>COM006394</t>
  </si>
  <si>
    <t>BITACORA GUIANZA JULIAN ARRUBLA  EAS002549.ogg</t>
  </si>
  <si>
    <t xml:space="preserve">Nota: para este tour solo fue una persona, y se le pagara a pino por el total de la Guianza $175.000 sin viáticos de trasporte </t>
  </si>
  <si>
    <t>COM006093</t>
  </si>
  <si>
    <t>EAS002480</t>
  </si>
  <si>
    <t>COM006760</t>
  </si>
  <si>
    <t xml:space="preserve"> EAS002504, EAS002623</t>
  </si>
  <si>
    <t>COM007112</t>
  </si>
  <si>
    <t>BITACORA GUIANZA JAIRO ALONSO PINO EAS002480.ogg</t>
  </si>
  <si>
    <t>15072026 CDC No 15 GUIANZA JULIAN ARRUBLA VELEZ $200000 COM007112.pdf</t>
  </si>
  <si>
    <t>COM006873</t>
  </si>
  <si>
    <t>3 DIA</t>
  </si>
  <si>
    <t>15072026 FV 3248 COOTRACOCORA $120000 COM007182.jpeg</t>
  </si>
  <si>
    <t>BITACORA GUIANZA JULIAN ARUBLA VELEZ EAS002504, EAS002623.ogg</t>
  </si>
  <si>
    <t>SALDO ANTERIOR AL DICIEMBRE 2025</t>
  </si>
  <si>
    <t xml:space="preserve">Son los valores que esta en este color los que coiciden con contabilidad </t>
  </si>
  <si>
    <t>ENTRADAS 31 ENERO 2026</t>
  </si>
  <si>
    <t xml:space="preserve"> EAS002665</t>
  </si>
  <si>
    <t xml:space="preserve">Nota: kathe registra en word office consiganciones a jairo alonso pino  fueron de  2.544.000 de enero a marzo y en cruce de cuentas da el mismo valor </t>
  </si>
  <si>
    <t>COM007202</t>
  </si>
  <si>
    <t>Pino tiene una diferencia de 2 mil pesos en autobits ok</t>
  </si>
  <si>
    <t>24072026 CDC 16 GUIANZA JULIAN ARRUBLA $197000 COM007202.pdf</t>
  </si>
  <si>
    <t>PRE COMPRA ENTRADAS 06 ENERO  2026</t>
  </si>
  <si>
    <t>24072026 FV3282 COOTRACOCORA $136500 COM007201.jpeg</t>
  </si>
  <si>
    <t>BITACORA GUIANZA JULIAN ARUBLA  EAS002665.ogg</t>
  </si>
  <si>
    <t>COM005917</t>
  </si>
  <si>
    <t>COM005922</t>
  </si>
  <si>
    <t>JORMAN ALEXIS GOMEZ HERNANDEZ</t>
  </si>
  <si>
    <t>COM005927</t>
  </si>
  <si>
    <t>COM005932</t>
  </si>
  <si>
    <t>EAS002263, EAS002273</t>
  </si>
  <si>
    <t xml:space="preserve"> EAS002627, EAS002350</t>
  </si>
  <si>
    <t>2026-02-11 13:00:00, 2026-02-11 13:00:00</t>
  </si>
  <si>
    <t>COM006164</t>
  </si>
  <si>
    <t>29072026 CDC No 17 JULIAN ARRUBLA VELEZ $209000 COM006164.pdf</t>
  </si>
  <si>
    <t>COM005943</t>
  </si>
  <si>
    <t>EAS002174, EAS002107, EAS002309</t>
  </si>
  <si>
    <t>ANDRES FELIPE VILLEGAS PELAEZ, ESCUELA AVES SALENTO S.A.S., ASISTENTE VIRTUAL</t>
  </si>
  <si>
    <t>2026-02-05 14:00:00, 2026-02-05 14:00:00, 2026-02-05 14:00:00</t>
  </si>
  <si>
    <t>COM005959</t>
  </si>
  <si>
    <t>EAS002299, EAS002104, EAS002346</t>
  </si>
  <si>
    <t>ASISTENTE VIRTUAL, ESCUELA AVES SALENTO S.A.S., ASISTENTE VIRTUAL</t>
  </si>
  <si>
    <t>2026-02-17 13:30:00, 2026-02-17 13:30:00, 2026-02-17 13:30:00</t>
  </si>
  <si>
    <t>COM005964</t>
  </si>
  <si>
    <t>COM005969</t>
  </si>
  <si>
    <t>COM005974</t>
  </si>
  <si>
    <t>EAS001989, EAS002206</t>
  </si>
  <si>
    <t>ANGIE KATERINE LOAIZA CALLE, ESCUELA AVES SALENTO S.A.S.</t>
  </si>
  <si>
    <t>2026-02-23 13:30:00, 2026-02-23 13:30:00</t>
  </si>
  <si>
    <t>COM005979</t>
  </si>
  <si>
    <t>COM005984</t>
  </si>
  <si>
    <t>29 JULIO</t>
  </si>
  <si>
    <t>EAS002148, EAS002092, EAS002365</t>
  </si>
  <si>
    <t>2026-02-24 13:15:00, 2026-02-24 13:15:00, 2026-02-24 13:15:00</t>
  </si>
  <si>
    <t>06/012026</t>
  </si>
  <si>
    <t xml:space="preserve"> EAS002187, EAS002074, EAS002252</t>
  </si>
  <si>
    <t>COM005697</t>
  </si>
  <si>
    <t>COM005989</t>
  </si>
  <si>
    <t xml:space="preserve">en este valor 2 se pagaron con la precompra de 6 de enero que constaban 20.000 y una con la precompra de del 24 de febrero </t>
  </si>
  <si>
    <t>COM006004</t>
  </si>
  <si>
    <t>BITACORA GUIANZA JULIAN ARRUBLA  EAS002627, EAS002350.ogg</t>
  </si>
  <si>
    <t>T-Tours_2pax_OV6898_EAS002187</t>
  </si>
  <si>
    <t>COM006116</t>
  </si>
  <si>
    <t>COM006123</t>
  </si>
  <si>
    <t>EAS002332, EAS002337</t>
  </si>
  <si>
    <t>2026-02-14 13:25:00, 2026-02-14 13:25:00</t>
  </si>
  <si>
    <t>COM006139</t>
  </si>
  <si>
    <t>COM006172</t>
  </si>
  <si>
    <t>EAS002342, EAS002305</t>
  </si>
  <si>
    <t>2026-02-21 14:00:00, 2026-02-21 14:00:00</t>
  </si>
  <si>
    <t>COM006205</t>
  </si>
  <si>
    <t>EAS002113</t>
  </si>
  <si>
    <t>COM005712</t>
  </si>
  <si>
    <t xml:space="preserve"> EAS002619</t>
  </si>
  <si>
    <t>COM007164</t>
  </si>
  <si>
    <t>31072026 CDC No 18 GUIAZA JULIAN ARRUBLA $202000 COM007164.pdf</t>
  </si>
  <si>
    <t>07 ENERO</t>
  </si>
  <si>
    <t>31 JULIO</t>
  </si>
  <si>
    <t>SALDO ANTERIOR AL ENERO 2026</t>
  </si>
  <si>
    <t>Civitatis_2PAX_34874262_EAS002113</t>
  </si>
  <si>
    <t>ENTRADAS 23 FEBRERO  2026</t>
  </si>
  <si>
    <t>BITACORA GUIANZA JULIAN ARRUBLA  EAS002619.ogg</t>
  </si>
  <si>
    <t>COM005760</t>
  </si>
  <si>
    <t>PRE COMPRA ENTRADAS 24 FEBRERO  2026</t>
  </si>
  <si>
    <t xml:space="preserve"> EAS002431, EAS002611</t>
  </si>
  <si>
    <t>COM007049</t>
  </si>
  <si>
    <t>04072026 CDC 51 GUIANZA JUAN DAVID VILLA $175000 COM007049.docx</t>
  </si>
  <si>
    <t>Estas son las entradas de la nueva precompra valor 25.000</t>
  </si>
  <si>
    <t>COM005890</t>
  </si>
  <si>
    <t>25012026 BITACORA BLANEY  EAS002279.ogg</t>
  </si>
  <si>
    <t>COM005994</t>
  </si>
  <si>
    <t>04072026 RC 019 TRANSPORTE KADO $135000 COM007033</t>
  </si>
  <si>
    <t>EAS002245</t>
  </si>
  <si>
    <t>COM006401</t>
  </si>
  <si>
    <t>BITACORA GUIANZA JUAN DAVID VILLA  EAS002431, EAS002611.ogg</t>
  </si>
  <si>
    <t>COM006194</t>
  </si>
  <si>
    <t>COM005999</t>
  </si>
  <si>
    <t>BITACORA GUIANZA BLANEY ARISTIZABAL EAS002394.ogg</t>
  </si>
  <si>
    <t>EAS002004, EAS002343</t>
  </si>
  <si>
    <t>ANGIE KATERINE LOAIZA CALLE, ASISTENTE VIRTUAL</t>
  </si>
  <si>
    <t>2026-02-27 13:30:00, 2026-02-27 13:30:00</t>
  </si>
  <si>
    <t>se observa que juan pago kado 135.000 y se le consigna 120.000 se le deben 15.000</t>
  </si>
  <si>
    <t>COM006315</t>
  </si>
  <si>
    <t>COM006154</t>
  </si>
  <si>
    <t>COM006020</t>
  </si>
  <si>
    <t xml:space="preserve"> EAS002566</t>
  </si>
  <si>
    <t>COM007210</t>
  </si>
  <si>
    <t>COM006025</t>
  </si>
  <si>
    <t>29082026 CDC 52 GUIANZA JUAN DAVID VILLA $210000 COM007210.docx</t>
  </si>
  <si>
    <t>EAS002162, EAS002132, EAS002320</t>
  </si>
  <si>
    <t>2026-03-08 13:30:00, 2026-03-08 13:30:00, 2026-03-08 13:30:00</t>
  </si>
  <si>
    <t>79 ENTRADAS</t>
  </si>
  <si>
    <t>COM006030</t>
  </si>
  <si>
    <t>EAS002274, EAS002312</t>
  </si>
  <si>
    <t>2026-03-09 13:30:00, 2026-03-09 13:30:00</t>
  </si>
  <si>
    <t>COM006036</t>
  </si>
  <si>
    <t>COM006041</t>
  </si>
  <si>
    <t xml:space="preserve">Nota: kathe registra en word office consiganciones a blaney  fueron de  908.400 de enero a marzo y en cruce de cuentas da el mismo valor </t>
  </si>
  <si>
    <t>COM006046</t>
  </si>
  <si>
    <t>COM006438</t>
  </si>
  <si>
    <t>BITACORA GUIANZA JUAN DAVID VILLA  EAS002566.ogg</t>
  </si>
  <si>
    <t xml:space="preserve">Blaney coincide con autobits </t>
  </si>
  <si>
    <t>65 ENTRADAS</t>
  </si>
  <si>
    <t>COM006051</t>
  </si>
  <si>
    <t>EAS002247, EAS002395</t>
  </si>
  <si>
    <t>2026-03-14 13:30:00, 2026-03-14 13:30:00</t>
  </si>
  <si>
    <t>COM006395</t>
  </si>
  <si>
    <t>59 ENTRADAS</t>
  </si>
  <si>
    <t>1 ENTRADA DIFERENCIA EN EL SISTEMA</t>
  </si>
  <si>
    <t>JAIME MONSALVE</t>
  </si>
  <si>
    <t>COM006447</t>
  </si>
  <si>
    <t>COM006056</t>
  </si>
  <si>
    <t>EAS002214, EAS002404, EAS002403</t>
  </si>
  <si>
    <t>LAURA SOFIA CASTRO FUENTES, ASISTENTE VIRTUAL, ASISTENTE VIRTUAL</t>
  </si>
  <si>
    <t>2026-03-17 13:30:00, 2026-03-17 13:30:00, 2026-03-17 13:30:00</t>
  </si>
  <si>
    <t>COM006471</t>
  </si>
  <si>
    <t>COM006430</t>
  </si>
  <si>
    <t>EAS002340, EAS002399</t>
  </si>
  <si>
    <t>JORMAN ALEXIS GOMEZ HERNANDEZ, ASISTENTE VIRTUAL</t>
  </si>
  <si>
    <t>2026-03-19 14:00:00, 2026-03-19 14:00:00</t>
  </si>
  <si>
    <t>COM006061</t>
  </si>
  <si>
    <t>EAS001507, EAS002364</t>
  </si>
  <si>
    <t>ADRIANA MARÍA MUÑOZ BARRETO, ASISTENTE VIRTUAL</t>
  </si>
  <si>
    <t>2026-03-20 14:00:00, 2026-03-20 14:00:00</t>
  </si>
  <si>
    <t>COM006066</t>
  </si>
  <si>
    <t>COM006474</t>
  </si>
  <si>
    <t>COM006505</t>
  </si>
  <si>
    <t>EAS002465</t>
  </si>
  <si>
    <t>EAS002417, EAS002439</t>
  </si>
  <si>
    <t>COM007154</t>
  </si>
  <si>
    <t>2026-03-26 13:30:00, 2026-03-26 13:30:00</t>
  </si>
  <si>
    <t>29072026 CDC MONICA MARCEL MORALES $175000 COM007154.docx</t>
  </si>
  <si>
    <t>COM006509</t>
  </si>
  <si>
    <t>EAS002066
EAS002237</t>
  </si>
  <si>
    <t>COM005586</t>
  </si>
  <si>
    <t>COM006240</t>
  </si>
  <si>
    <t>COM006382</t>
  </si>
  <si>
    <t>COM006531</t>
  </si>
  <si>
    <t>Civitatis_1pax_34424563_EAS002066</t>
  </si>
  <si>
    <t>COM006413</t>
  </si>
  <si>
    <t>EAS002396, EAS002426</t>
  </si>
  <si>
    <t>2026-03-31 13:30:00, 2026-03-31 13:30:00</t>
  </si>
  <si>
    <t>COM006077</t>
  </si>
  <si>
    <t>5 DÍA</t>
  </si>
  <si>
    <t>BITACORA GUIANZA MONICA EAS002465.ogg</t>
  </si>
  <si>
    <t xml:space="preserve">Nota: kathe registra en word office consiganciones a Jiame monsalve  fueron de  210.000 de enero a marzo y en cruce de cuentas da el mismo valor </t>
  </si>
  <si>
    <t>EAS002351, EAS002041</t>
  </si>
  <si>
    <t>ASISTENTE VIRTUAL, ANGIE KATERINE LOAIZA CALLE</t>
  </si>
  <si>
    <t>2026-03-31 14:00:00, 2026-03-31 14:00:00</t>
  </si>
  <si>
    <t>CARLOS ALFONSO ZAFRA</t>
  </si>
  <si>
    <t xml:space="preserve">Jaime coincide con autobits, la reserva se ejecuto en diciembre </t>
  </si>
  <si>
    <t>SALDO ANTERIOR AL FEBRERO 2026</t>
  </si>
  <si>
    <t>ENTRADAS 31 MARZO 2026</t>
  </si>
  <si>
    <t>COM006193</t>
  </si>
  <si>
    <t>24072026 CDC01 GUIANZA CARLOS ALFONSO ZAFRA LOPEZ $185000 COM006193.pdf</t>
  </si>
  <si>
    <t>BITACORA CARLOS ZAFRA EAS002352.ogg</t>
  </si>
  <si>
    <t>BOSQUE DE PALMAS REPORTA 6 ENTRADAS</t>
  </si>
  <si>
    <t>El dinero de los jeep willys fue consignados a Julian Aruubla</t>
  </si>
  <si>
    <t>COM005822</t>
  </si>
  <si>
    <t>COM006235</t>
  </si>
  <si>
    <t>EAS002348</t>
  </si>
  <si>
    <t>CIV_2pax_36072844_EAS002234</t>
  </si>
  <si>
    <t xml:space="preserve"> se pagan cuantro entradas con la precompra  del 24 de febrero y las tres restantes se pagan con la precompra del primero de abril </t>
  </si>
  <si>
    <t>COM006563</t>
  </si>
  <si>
    <t>ASISTENTE VIRTUAL, JORMAN ALEXIS GOMEZ HERNANDEZ, JORMAN ALEXIS GOMEZ HERNANDEZ</t>
  </si>
  <si>
    <t>2026-04-01 14:00:00, 2026-04-01 14:00:00, 2026-04-01 14:00:00</t>
  </si>
  <si>
    <t>COM006536</t>
  </si>
  <si>
    <t>EAS002357, EAS002436, EAS002427</t>
  </si>
  <si>
    <t>ASISTENTE VIRTUAL, ASISTENTE VIRTUAL, ASISTENTE VIRTUAL</t>
  </si>
  <si>
    <t>2026-04-02 13:30:00, 2026-04-02 13:30:00, 2026-04-02 13:30:00</t>
  </si>
  <si>
    <t>COM005755</t>
  </si>
  <si>
    <t>COM006575</t>
  </si>
  <si>
    <t>EAS002440</t>
  </si>
  <si>
    <t>COM006585</t>
  </si>
  <si>
    <t>COM006590</t>
  </si>
  <si>
    <t>EAS002310, EAS002330, EAS002458</t>
  </si>
  <si>
    <t>2026-04-05 13:30:00, 2026-04-05 13:30:00, 2026-04-05 13:30:00</t>
  </si>
  <si>
    <t>COM006601</t>
  </si>
  <si>
    <t>EAS002333</t>
  </si>
  <si>
    <t>COM006605</t>
  </si>
  <si>
    <t>COM006387</t>
  </si>
  <si>
    <t>COM006610</t>
  </si>
  <si>
    <t>COM006666</t>
  </si>
  <si>
    <t>EAS002412, EAS002469</t>
  </si>
  <si>
    <t>ASISTENTE VIRTUAL, JORMAN ALEXIS GOMEZ HERNANDEZ</t>
  </si>
  <si>
    <t>2026-04-13 14:00:00, 2026-04-13 14:00:00</t>
  </si>
  <si>
    <t>COM005765</t>
  </si>
  <si>
    <t>COM006674</t>
  </si>
  <si>
    <t>Civitatis_2pax_34704744_EAS002078</t>
  </si>
  <si>
    <t>COM006615</t>
  </si>
  <si>
    <t>COM006680</t>
  </si>
  <si>
    <t>COM006300</t>
  </si>
  <si>
    <t xml:space="preserve"> EAS002372, EAS002268, EAS002442</t>
  </si>
  <si>
    <t xml:space="preserve"> ASISTENTE VIRTUAL, ASISTENTE VIRTUAL, ASISTENTE VIRTUAL</t>
  </si>
  <si>
    <t xml:space="preserve"> 2026-04-26 13:00:00, 2026-04-26 13:00:00, 2026-04-26 13:00:00</t>
  </si>
  <si>
    <t>EAS002299
EAS002104
EAS002346</t>
  </si>
  <si>
    <t>COM005963</t>
  </si>
  <si>
    <t>COM006405</t>
  </si>
  <si>
    <t xml:space="preserve"> EAS002394</t>
  </si>
  <si>
    <t xml:space="preserve"> 2026-04-27 18:20:00</t>
  </si>
  <si>
    <t>17 FEBRERO JUAN DAVID VILLA COM005963.ogg</t>
  </si>
  <si>
    <t>COM006547</t>
  </si>
  <si>
    <t xml:space="preserve"> EAS002446</t>
  </si>
  <si>
    <t xml:space="preserve"> 2026-04-24 13:00:00</t>
  </si>
  <si>
    <t>COM006620</t>
  </si>
  <si>
    <t>DIEGO La paso nuevamente</t>
  </si>
  <si>
    <t>COM006625</t>
  </si>
  <si>
    <t xml:space="preserve"> EAS002321</t>
  </si>
  <si>
    <t xml:space="preserve"> 2026-04-23 14:00:00</t>
  </si>
  <si>
    <t xml:space="preserve">FEBRERO </t>
  </si>
  <si>
    <t>COM006632</t>
  </si>
  <si>
    <t xml:space="preserve"> 2026-04-25 13:30:00</t>
  </si>
  <si>
    <t>COM005973</t>
  </si>
  <si>
    <t>COM006640</t>
  </si>
  <si>
    <t xml:space="preserve"> EAS002461</t>
  </si>
  <si>
    <t xml:space="preserve"> 2026-04-18 13:30:00</t>
  </si>
  <si>
    <t>BITACORA GUIANZA JUAN DAVID VILLA CASTAÑO COM005973  EAS002271 .ogg</t>
  </si>
  <si>
    <t>COM006716</t>
  </si>
  <si>
    <t xml:space="preserve"> EAS002480, EAS002466</t>
  </si>
  <si>
    <t xml:space="preserve"> ASISTENTE VIRTUAL, ASISTENTE VIRTUAL</t>
  </si>
  <si>
    <t xml:space="preserve"> 2026-04-24 14:00:00, 2026-04-24 14:00:00</t>
  </si>
  <si>
    <t>EAS002148</t>
  </si>
  <si>
    <t>SALDO ANTERIOR A MARZO 2026</t>
  </si>
  <si>
    <t xml:space="preserve">COM005988 </t>
  </si>
  <si>
    <t>BITACORA GUIANZA JUAN DAVID VILLA CASTAÑO  COM005988  EAS002148.ogg</t>
  </si>
  <si>
    <t>ENTRADAS 15 ABRIL  2026</t>
  </si>
  <si>
    <t>EAS002004</t>
  </si>
  <si>
    <t>COM006003</t>
  </si>
  <si>
    <t>BITACORA GUIANZA JUAN DAVID VILLA CASTAÑO  COM006003  EAS002004.ogg</t>
  </si>
  <si>
    <t>PRE COMPRA ENTRADAS 01 ABRIL 2026</t>
  </si>
  <si>
    <t>COM006085</t>
  </si>
  <si>
    <t>COM006347</t>
  </si>
  <si>
    <t>EAS002381, EAS002490</t>
  </si>
  <si>
    <t>COM006357</t>
  </si>
  <si>
    <t>2026-05-04 13:15:00, 2026-05-04 13:15:00</t>
  </si>
  <si>
    <t>COM006650</t>
  </si>
  <si>
    <t>EAS002294, EAS002501</t>
  </si>
  <si>
    <t>ASISTENTE VIRTUAL, ESCUELA AVES SALENTO S.A.S.</t>
  </si>
  <si>
    <t>2026-05-06 13:00:00, 2026-05-06 13:00:00</t>
  </si>
  <si>
    <t>BITACORA GUIANZA JUAN DAVID VILLA CASTAÑO COM006357 EAS002349 .ogg</t>
  </si>
  <si>
    <t>COM006717</t>
  </si>
  <si>
    <t>EAS002467, EAS002477</t>
  </si>
  <si>
    <t>2026-05-05 14:00:00, 2026-05-05 14:00:00</t>
  </si>
  <si>
    <t>COM006789</t>
  </si>
  <si>
    <t>COM006792</t>
  </si>
  <si>
    <t>COM006825</t>
  </si>
  <si>
    <t>EAS002498, EAS002512</t>
  </si>
  <si>
    <t>2026-05-14 14:00:00, 2026-05-14 14:00:00</t>
  </si>
  <si>
    <t xml:space="preserve">MARZO </t>
  </si>
  <si>
    <t>COM006837</t>
  </si>
  <si>
    <t>COM006844</t>
  </si>
  <si>
    <t>EAS002515, EAS002492</t>
  </si>
  <si>
    <t>2026-05-16 13:00:00, 2026-05-16 13:00:00</t>
  </si>
  <si>
    <t>COM006853</t>
  </si>
  <si>
    <t>EAS002214</t>
  </si>
  <si>
    <t>COM006060</t>
  </si>
  <si>
    <t>COM006305</t>
  </si>
  <si>
    <t xml:space="preserve"> EAS002524, EAS002373</t>
  </si>
  <si>
    <t xml:space="preserve"> 2026-05-21 14:00:00, 2026-05-21 14:00:00</t>
  </si>
  <si>
    <t>BITACORA 17032026 JUAN DAVID VILLA CASTAÑO EAS002214.ogg</t>
  </si>
  <si>
    <t>COM006722</t>
  </si>
  <si>
    <t>COM006865</t>
  </si>
  <si>
    <t>EAS002340
EAS002399</t>
  </si>
  <si>
    <t>COM006457</t>
  </si>
  <si>
    <t>COM006870</t>
  </si>
  <si>
    <t xml:space="preserve"> 2026-05-22 13:00:00</t>
  </si>
  <si>
    <t>BITACORA 19032026 JUAN DAVID VILLA CASTAÑO EAS002399.ogg</t>
  </si>
  <si>
    <t>COM006893</t>
  </si>
  <si>
    <t>SALDO ANTERIOR ABRIL 2026</t>
  </si>
  <si>
    <t xml:space="preserve">Diego negoció el guión de este día en 150.000 cerrados, ya que este fue el tour que tocó cambiar de fecha por el clima. </t>
  </si>
  <si>
    <t>ENTRADAS 31 MAYO  2026</t>
  </si>
  <si>
    <t>EAS002417</t>
  </si>
  <si>
    <t>COM006503</t>
  </si>
  <si>
    <t>BITACORA 26032026 JUAN DAVID VILLA CASTAÑO EAS002417.ogg</t>
  </si>
  <si>
    <t>PRE COMPRA ENTRADAS 15 MAYO 2026</t>
  </si>
  <si>
    <t xml:space="preserve">Se comio en el super patacon, dice que en la logistica no es tan viable ya que se desvia mucho del camino que se debe de trazar, solcita revisar que tan bueno es para el recorrido, ademas hubo una confision con el almuerzo del guia, el manifista que no fueron claros el menu del dia, pidio un patacon y lo recargaron a EAS, se hablo con mauricio el dice que si dijo, ya se hablo con el, esta EAS asume pero a la proxima no </t>
  </si>
  <si>
    <t>COM006417</t>
  </si>
  <si>
    <t>https://drBITACORA JUAN DAVID VILLA  EAS002396 31/03/2026 .ogg</t>
  </si>
  <si>
    <t>COM006225</t>
  </si>
  <si>
    <t xml:space="preserve">ABRIL </t>
  </si>
  <si>
    <t>COM006705</t>
  </si>
  <si>
    <t xml:space="preserve"> 2026-06-11 14:00:00</t>
  </si>
  <si>
    <t>COM006911</t>
  </si>
  <si>
    <t xml:space="preserve"> 2026-06-06 14:00:00</t>
  </si>
  <si>
    <t>COM006619</t>
  </si>
  <si>
    <t>COM006917</t>
  </si>
  <si>
    <t xml:space="preserve"> 2026-06-07 13:30:00</t>
  </si>
  <si>
    <t>COM006925</t>
  </si>
  <si>
    <t>BITACORA JUAN DAVID VILLA 14042026 CIV_2PAX_37802000_EAS002425.ogg</t>
  </si>
  <si>
    <t>COM006935</t>
  </si>
  <si>
    <t xml:space="preserve"> 2026-06-12 13:30:00</t>
  </si>
  <si>
    <t>COM006907</t>
  </si>
  <si>
    <t>SALDO ANTERIOR MAYO 2026</t>
  </si>
  <si>
    <t>ENTRADAS 30 JUNIO   2026</t>
  </si>
  <si>
    <t xml:space="preserve">Nota: kathe registra en word office consiganciones a Juan david villa  fueron de  1.968.000 de enero a marzo y en cruce de cuentas da el mismo valor </t>
  </si>
  <si>
    <t>Juan David coincide con autobits</t>
  </si>
  <si>
    <t>JULIAN ARRUBLA</t>
  </si>
  <si>
    <t>EAS002196</t>
  </si>
  <si>
    <t>COM005680</t>
  </si>
  <si>
    <t>Civitatis_2PAX_35731996_EAS002196</t>
  </si>
  <si>
    <t>18/012026</t>
  </si>
  <si>
    <t>EAS002269</t>
  </si>
  <si>
    <t>COM005850</t>
  </si>
  <si>
    <t>Tuvo dos reservas uno califico 10 y los otros calificaron 8 esto da un 9</t>
  </si>
  <si>
    <t>EAS002332</t>
  </si>
  <si>
    <t>COM006127</t>
  </si>
  <si>
    <t>14 FEBRERO JULIAN ARRUBLA COM006127 EAS2332.ogg</t>
  </si>
  <si>
    <t xml:space="preserve">ok </t>
  </si>
  <si>
    <t>COM006168</t>
  </si>
  <si>
    <t>BITACORA GUIANZA JULIAN ANDRES CASTAÑEDA TREJOS COM006168 EAS002339 .ogg</t>
  </si>
  <si>
    <t xml:space="preserve">COM006217 </t>
  </si>
  <si>
    <t>BITACORA GUIANZA JULIAN ARRUBLA VELEZ COM006217  EAS002356 .ogg</t>
  </si>
  <si>
    <t>EAS002385</t>
  </si>
  <si>
    <t>COM006024</t>
  </si>
  <si>
    <t>BITACORA GUIANZA JULIAN ARRUBLA VELEZ  COM006024 EAS002292	.ogg</t>
  </si>
  <si>
    <t>EAS001507</t>
  </si>
  <si>
    <t>COM006065</t>
  </si>
  <si>
    <t>BITACORA 20032026 JULIAN ARRUBLA VELEZ EAS001507.ogg</t>
  </si>
  <si>
    <t>EAS002257</t>
  </si>
  <si>
    <t>COM006074</t>
  </si>
  <si>
    <t>BITACORA 22032026 JULIAN ARRUBLA VELEZ 	EAS002257.ogg</t>
  </si>
  <si>
    <t>COM006672</t>
  </si>
  <si>
    <t>BITACORA JULIAN ARRUBLA VELEZ 13042026 TC_2pax_EAS002462  .ogg</t>
  </si>
  <si>
    <t xml:space="preserve">Nota: kathe registra en word office consiganciones a Julian arrubla  fueron de  1.649.000 de enero a marzo y en cruce de cuentas da el mismo valor </t>
  </si>
  <si>
    <t>Julian coincide con autobits</t>
  </si>
  <si>
    <t>CAMILO ANDRES MOLINA</t>
  </si>
  <si>
    <t>EAS002285
EAS002198</t>
  </si>
  <si>
    <t>COM005770</t>
  </si>
  <si>
    <t xml:space="preserve">Nota: kathe registra en word office consiganciones a  Camilo Molina   fueron de  175.000 de enero a marzo y en cruce de cuentas da el mismo valor </t>
  </si>
  <si>
    <t>Camilo coincide con autobits</t>
  </si>
  <si>
    <t>SOLEDAD FERNANDEZ</t>
  </si>
  <si>
    <t>21/012026</t>
  </si>
  <si>
    <t>COM005866</t>
  </si>
  <si>
    <t>https://dBITACORA 21012026 001986 SOLEDAD FERNÁNDEZ EAS002225.ogg</t>
  </si>
  <si>
    <t>2 MESES</t>
  </si>
  <si>
    <t>Tuvimos un enredo con soledad, ella no envio la inormacion a tiempo pero fue la siguiente se gasto 36.000 trasporte valle de cocora 13.500 transporte luger publico, 35.000 luger privado, a ella se le consigno 93.000 y se gasto 84.500 resta 8.500</t>
  </si>
  <si>
    <t xml:space="preserve">Nota: kathe registra en word office consiganciones a  soledad fernandez   fueron de  187.000 de enero a marzo y en cruce de cuentas da el mismo valor </t>
  </si>
  <si>
    <t>Soledad coincide con autobits</t>
  </si>
  <si>
    <t>GIAN CARLO GARCIA ESCOBAR</t>
  </si>
  <si>
    <t>COM005885</t>
  </si>
  <si>
    <t>4 DIAS</t>
  </si>
  <si>
    <t>EAS002270</t>
  </si>
  <si>
    <t>COM005895</t>
  </si>
  <si>
    <t>COM005926</t>
  </si>
  <si>
    <t>BITACORA GUIANZA GIAN CARLO GARCIA EAS002272.ogg</t>
  </si>
  <si>
    <t>7 DÍAS</t>
  </si>
  <si>
    <t xml:space="preserve">Nota: kathe registra en word office consiganciones a Gian Carlos   fueron de  541.000 de enero a marzo y en cruce de cuentas da el mismo valor </t>
  </si>
  <si>
    <t>Gian carlo coincide con autobits</t>
  </si>
  <si>
    <t>COM005685</t>
  </si>
  <si>
    <t xml:space="preserve">pendiente </t>
  </si>
  <si>
    <t xml:space="preserve">Enero </t>
  </si>
  <si>
    <t>COM005744</t>
  </si>
  <si>
    <t>BITACORA GUIANZA DIEGO ALEJANDRO SERNA GALVIS EAS002123, EAS002208.ogg</t>
  </si>
  <si>
    <t xml:space="preserve">                                            EAS002176 </t>
  </si>
  <si>
    <t>COM005772</t>
  </si>
  <si>
    <t>DINERO EN FISICO</t>
  </si>
  <si>
    <t>BITACORA GUIANZA DIEGO ALEJANDRO SERNA GALVIS  EAS002176.ogg</t>
  </si>
  <si>
    <t>4 MESES</t>
  </si>
  <si>
    <t>CAJA MENOR DE LA DUSTER</t>
  </si>
  <si>
    <t>EAS002197</t>
  </si>
  <si>
    <t>COM005861</t>
  </si>
  <si>
    <t>COM005874</t>
  </si>
  <si>
    <t>WhatsApp Ptt 2026-02-14 at 10.36.50 AM.ogg</t>
  </si>
  <si>
    <t>20 DÍA</t>
  </si>
  <si>
    <t>COM005909</t>
  </si>
  <si>
    <t>BITACORA DIEGO ALEJANDRRO SERBA GALVIS EAS002039.pdf</t>
  </si>
  <si>
    <t>16 DÍA</t>
  </si>
  <si>
    <t xml:space="preserve">Se nieromm dos reservas, una califico 10 y la otra reserva califico 8 el resultado da 9 </t>
  </si>
  <si>
    <t>COM005921</t>
  </si>
  <si>
    <t>CIV_2PAX_36656315_EAS002291</t>
  </si>
  <si>
    <t>10 DÍA</t>
  </si>
  <si>
    <t>COM005951</t>
  </si>
  <si>
    <t>BITACORA GUAINZA DIEGO ALEJANDRO SERNA GALVIS EAS002288.ogg</t>
  </si>
  <si>
    <t>Diego no entrego a tiempo facturas y se contabilizo a nombre de diego las siguientes    COM005953, COM005950, COM005948</t>
  </si>
  <si>
    <t>EAS002273</t>
  </si>
  <si>
    <t>COM006099</t>
  </si>
  <si>
    <t>BITACORA GIANZA DIEGO ALEJANDRO SERNA GLAVIS EAS002314.ogg</t>
  </si>
  <si>
    <t>7 DÍA</t>
  </si>
  <si>
    <t>COM005879</t>
  </si>
  <si>
    <t>BITACORA DIEGO ALEJANDOR GLAVIS EAS002289.ogg</t>
  </si>
  <si>
    <t>21 DÍA</t>
  </si>
  <si>
    <t>COM006105</t>
  </si>
  <si>
    <t>OJO</t>
  </si>
  <si>
    <t>EAS002324</t>
  </si>
  <si>
    <t>COM005936</t>
  </si>
  <si>
    <t>BITACORA GUIANZA DIEGO ALEJANDRO GALVIS .ogg</t>
  </si>
  <si>
    <t>COM006120</t>
  </si>
  <si>
    <t>COM006143</t>
  </si>
  <si>
    <t>BITACORA JHONNY FABIÁN BOHÓRQUEZ VERANO 17022026 CIV_2PAX_37061677_EAS002344.ogg</t>
  </si>
  <si>
    <t>7 DIAS</t>
  </si>
  <si>
    <t xml:space="preserve">No tiene </t>
  </si>
  <si>
    <t xml:space="preserve">DIEGO FUE EL GUIA PERO EN COMPAÑIA DE JHONNY EL ENVIO EL AUDIO, PERO SE LE PAGO LA GUIANZA A EL. ADEMAS(Este día fue JHONNY FABIÁN BOHÓRQUEZ VERANO que acompaño a diego, pero el dinero se le pago a diego y diego se encargo de darle la plata a jhonny para que lo tengan en cuenta en contabilidad.) ademas tuvieron dos comentarias de la misma reserva una por civitatis y la otra por google </t>
  </si>
  <si>
    <t>PAGADO</t>
  </si>
  <si>
    <t>COM006149
COM006150</t>
  </si>
  <si>
    <t>Bitácora 19022026 DIEGO ALEJANDRO SERNA EAS002325.ogg</t>
  </si>
  <si>
    <t>COM006008</t>
  </si>
  <si>
    <t>BITACORA GUIANZA DIEGO ALEJANDRO SERNA GALVIS EAS002303.ogg</t>
  </si>
  <si>
    <t>3 MESES</t>
  </si>
  <si>
    <t xml:space="preserve">ENVIADO </t>
  </si>
  <si>
    <t>EAS001989</t>
  </si>
  <si>
    <t>COM005978</t>
  </si>
  <si>
    <t>BITACORA GUAINZA DIEGO ALEJANDRO  SERNA GALVIS COM005978 EAS001989.ogg</t>
  </si>
  <si>
    <t>EAS002206</t>
  </si>
  <si>
    <t xml:space="preserve">COM005993 </t>
  </si>
  <si>
    <t>COM005998</t>
  </si>
  <si>
    <t>BITACORA GUIANZA DIEGO ALEJANDRO  SERNA GALVIS COM005998 EAS002245.ogg</t>
  </si>
  <si>
    <t>EAS002367</t>
  </si>
  <si>
    <t>COM006333</t>
  </si>
  <si>
    <t>BITACORA GUIANZA DIEGO ALEJANDRO SERNA GALVISE AS002367.ogg</t>
  </si>
  <si>
    <t>EAS002274</t>
  </si>
  <si>
    <t>COM006035</t>
  </si>
  <si>
    <t>BITACORA 09/03/2026 DIEGO ALEJANDRO SERNA GALVIS EAS002312.ogg</t>
  </si>
  <si>
    <t xml:space="preserve">COM006040  </t>
  </si>
  <si>
    <t>BITACORA 11/03/2026 DIEGO ALEJANDRO SERNA GLAVIS EAS002264.ogg</t>
  </si>
  <si>
    <t>COM006045</t>
  </si>
  <si>
    <t>BITACORA 12032026 DIEGO ALEJANDRO SERNA GALVIS EAS002255.ogg</t>
  </si>
  <si>
    <t xml:space="preserve">Tubo dos calificaciones una en civitatis y la otra en gogle, pero en la misma reserva </t>
  </si>
  <si>
    <t>EAS002408</t>
  </si>
  <si>
    <t>COM006480
  COM006481</t>
  </si>
  <si>
    <t>BITACORA GUIANZA DIEGO ALEJANDRO SERNA GALVIS EAS002408.ogg</t>
  </si>
  <si>
    <t>VIATICOS</t>
  </si>
  <si>
    <t xml:space="preserve">Diego fue conductor de esta rurta que fue a los termales </t>
  </si>
  <si>
    <t xml:space="preserve">NOMINA MAYO 2DA </t>
  </si>
  <si>
    <t>COM006070</t>
  </si>
  <si>
    <t>BITACORA 21032026 DIEGO ALEJANDRO SERNA GALVIS EAS002231.ogg</t>
  </si>
  <si>
    <t>6 DIAS</t>
  </si>
  <si>
    <t xml:space="preserve">COM006500 </t>
  </si>
  <si>
    <t>BITACORA 25032026 DIEGO ALEJANDRO SERNA GALVIS EAS002409.ogg</t>
  </si>
  <si>
    <t xml:space="preserve">A diego se le consiganron $180.000 para transporte el reporta que solo se gasto $90.000 y que la devuelta se la dio Andrea </t>
  </si>
  <si>
    <t>COM006244</t>
  </si>
  <si>
    <t>BITACORA DIEGO ALEJANDRO SERNA GALVIS CIV_2PAX_37200606_EAS002361.ogg</t>
  </si>
  <si>
    <t xml:space="preserve">23 DIAS </t>
  </si>
  <si>
    <t xml:space="preserve">La Guianza se cruzo con los días que no trabajo, solo se pagara los viáticos </t>
  </si>
  <si>
    <t>EAS002418</t>
  </si>
  <si>
    <t xml:space="preserve">COM006582 </t>
  </si>
  <si>
    <t>BITACORA DIEGO ALEJANRO SERNA GALVIS CIV_2PAX_37772152_EAS002418.ogg</t>
  </si>
  <si>
    <t xml:space="preserve">17 DIAS </t>
  </si>
  <si>
    <t>NOMINA</t>
  </si>
  <si>
    <t xml:space="preserve">COM006594 </t>
  </si>
  <si>
    <t>BITACORA DIEGO ALEJANDRO SERNA GALVIS CIV_1PAX_36812779_EAS002310.ogg</t>
  </si>
  <si>
    <t xml:space="preserve">16 DIAS </t>
  </si>
  <si>
    <t>BITACORA DIEGO ALEJANDRO SERNA GALVIS EAS002333 06042026.ogg</t>
  </si>
  <si>
    <t>En esta reserva Ana Ponce no pago los 200.000 adicionales, ademas diego menciona que se le debn 5000 de parqueadero pero no reporta factura. ademas fue como guia conductor</t>
  </si>
  <si>
    <t>COM006614</t>
  </si>
  <si>
    <t>BITACORA DIEGO ALEJANDRO SERNA GALVIS 10042026 CIV_2PAX_38112827_EAS002456.ogg</t>
  </si>
  <si>
    <t>COM006678
COM006677</t>
  </si>
  <si>
    <t>https://drBITACORA JULIAN ARRUBLA VELEZ 13042026 TC_2pax_EAS002462  .ogg</t>
  </si>
  <si>
    <t xml:space="preserve">7 DIAS </t>
  </si>
  <si>
    <t>EAS002442
EAS002268
EAS002372</t>
  </si>
  <si>
    <t>COM006304</t>
  </si>
  <si>
    <t>viaticos de transporte</t>
  </si>
  <si>
    <t>BITACORA GUIANZA DIEGO ALEJANDRO SERN GALVIS EAS002442 EAS002268 EAS002372 FINAL.ogg</t>
  </si>
  <si>
    <t>EAS002321</t>
  </si>
  <si>
    <t>COM006629</t>
  </si>
  <si>
    <t>23042026 SPG DIEGO ALEJANDRO SERNA GALVIS JEEP WILLYS $120000 COM006627.pdf</t>
  </si>
  <si>
    <t>BITACORA GUIANZA DIEGO ALEJANDRO SERNA GALVIS EAS002321.ogg</t>
  </si>
  <si>
    <t>COM006624</t>
  </si>
  <si>
    <t>22042026 FE FPOS - 33096  JORGE HERNANDO CASTAÑO GIRALDO $3900 COM006861.pdf</t>
  </si>
  <si>
    <t>BITACORA GUIANZA DIEGO ALEJANDRO SERNA GALVIS EAS002450.ogg</t>
  </si>
  <si>
    <t>COM006643</t>
  </si>
  <si>
    <t>IMPRESO EN FISICO</t>
  </si>
  <si>
    <t>BITACORA GUIANZA DIEGO ALEJANDRO SERN GALVIS EAS002461.ogg</t>
  </si>
  <si>
    <t>CRUCE DE CUENTAS</t>
  </si>
  <si>
    <t xml:space="preserve">46000 DESCONTAR A DIEGO </t>
  </si>
  <si>
    <t>ENTRADAS Y REFRIGERIOS CARGADOS EN AUTOBITS</t>
  </si>
  <si>
    <t xml:space="preserve">COM005983 </t>
  </si>
  <si>
    <t>BITACORA GUIANZA JOSE ROMEL DUQUE COM005983 EAS002267  .ogg</t>
  </si>
  <si>
    <t xml:space="preserve">COM006436        </t>
  </si>
  <si>
    <t>BITACORA 13/032026 JOSE ROMEL DUQUE EAS002387.ogg</t>
  </si>
  <si>
    <t xml:space="preserve">Nota: kathe registra en word office consiganciones a jose romel   fueron de  330.000 de enero a marzo y en cruce de cuentas da el mismo valor </t>
  </si>
  <si>
    <t>Jose romel coincide con autobits</t>
  </si>
  <si>
    <t>COM006599</t>
  </si>
  <si>
    <t>BITACORA MONICA MARCELA MORALES HURTADO  EAS002440 03/04/2026.ogg</t>
  </si>
  <si>
    <t xml:space="preserve">COM006193 </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</si>
</sst>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dd/mm/yyyy"/>
    <numFmt numFmtId="165" formatCode="[$ $]#,##0"/>
    <numFmt numFmtId="166" formatCode="d mmmm yyyy"/>
    <numFmt numFmtId="167" formatCode="&quot;$&quot;#,##0"/>
    <numFmt numFmtId="168" formatCode="d mmmm"/>
    <numFmt numFmtId="169" formatCode="d/m/yyyy"/>
    <numFmt numFmtId="170" formatCode="yyyy-mm-dd h:mm"/>
    <numFmt numFmtId="171" formatCode="yyyy-mm-dd h:mm:ss"/>
    <numFmt numFmtId="172" formatCode="dd/mm/yy"/>
    <numFmt numFmtId="173" formatCode="yyyy-mm-dd"/>
    <numFmt numFmtId="174" formatCode="d/M/yyyy"/>
    <numFmt numFmtId="175" formatCode="&quot;$&quot;#,##0.00"/>
    <numFmt numFmtId="176" formatCode="mmm d, yyyy"/>
    <numFmt numFmtId="177" formatCode="dd mmmm yyyy"/>
  </numFmts>
  <fonts count="82">
    <font>
      <sz val="10.0"/>
      <color rgb="FF000000"/>
      <name val="Arial"/>
      <scheme val="minor"/>
    </font>
    <font>
      <color theme="1"/>
      <name val="Arial"/>
      <scheme val="minor"/>
    </font>
    <font>
      <b/>
      <sz val="11.0"/>
      <color theme="1"/>
      <name val="Ubuntu"/>
    </font>
    <font/>
    <font>
      <sz val="11.0"/>
      <color theme="1"/>
      <name val="Ubuntu"/>
    </font>
    <font>
      <b/>
      <color theme="1"/>
      <name val="Arial"/>
      <scheme val="minor"/>
    </font>
    <font>
      <b/>
      <sz val="12.0"/>
      <color theme="1"/>
      <name val="Ubuntu"/>
    </font>
    <font>
      <sz val="12.0"/>
      <color theme="1"/>
      <name val="Ubuntu"/>
    </font>
    <font>
      <sz val="12.0"/>
      <color theme="1"/>
      <name val="Calibri"/>
    </font>
    <font>
      <color theme="1"/>
      <name val="Arial"/>
    </font>
    <font>
      <sz val="9.0"/>
      <color theme="1"/>
      <name val="Calibri"/>
    </font>
    <font>
      <b/>
      <sz val="12.0"/>
      <color theme="1"/>
      <name val="Calibri"/>
    </font>
    <font>
      <sz val="11.0"/>
      <color theme="1"/>
      <name val="Calibri"/>
    </font>
    <font>
      <u/>
      <color theme="1"/>
      <name val="Arial"/>
      <scheme val="minor"/>
    </font>
    <font>
      <sz val="9.0"/>
      <color theme="1"/>
      <name val="&quot;Open Sans&quot;"/>
    </font>
    <font>
      <sz val="9.0"/>
      <color rgb="FF707478"/>
      <name val="&quot;Open Sans&quot;"/>
    </font>
    <font>
      <sz val="10.0"/>
      <color theme="1"/>
      <name val="Arial"/>
      <scheme val="minor"/>
    </font>
    <font>
      <u/>
      <color theme="1"/>
      <name val="Arial"/>
      <scheme val="minor"/>
    </font>
    <font>
      <u/>
      <color theme="1"/>
      <name val="Arial"/>
      <scheme val="minor"/>
    </font>
    <font>
      <color rgb="FF1F1F1F"/>
      <name val="&quot;Google Sans&quot;"/>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b/>
      <sz val="10.0"/>
      <color theme="1"/>
      <name val="Arial"/>
      <scheme val="minor"/>
    </font>
    <font>
      <u/>
      <color theme="1"/>
      <name val="Arial"/>
      <scheme val="minor"/>
    </font>
    <font>
      <b/>
      <u/>
      <color theme="1"/>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font>
    <font>
      <u/>
      <color theme="1"/>
      <name val="Arial"/>
      <scheme val="minor"/>
    </font>
    <font>
      <u/>
      <color theme="1"/>
      <name val="Arial"/>
      <scheme val="minor"/>
    </font>
    <font>
      <u/>
      <sz val="12.0"/>
      <color theme="1"/>
      <name val="Ubuntu"/>
    </font>
    <font>
      <u/>
      <color theme="1"/>
      <name val="Arial"/>
      <scheme val="minor"/>
    </font>
    <font>
      <color theme="1"/>
      <name val="Ubuntu"/>
    </font>
    <font>
      <u/>
      <color theme="1"/>
      <name val="Arial"/>
      <scheme val="minor"/>
    </font>
    <font>
      <u/>
      <sz val="12.0"/>
      <color theme="1"/>
      <name val="Ubuntu"/>
    </font>
    <font>
      <u/>
      <sz val="12.0"/>
      <color theme="1"/>
      <name val="Ubuntu"/>
    </font>
    <font>
      <u/>
      <sz val="12.0"/>
      <color theme="1"/>
      <name val="Ubuntu"/>
    </font>
    <font>
      <u/>
      <color theme="1"/>
      <name val="Arial"/>
      <scheme val="minor"/>
    </font>
    <font>
      <sz val="12.0"/>
      <color theme="1"/>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b/>
      <sz val="11.0"/>
      <color theme="1"/>
      <name val="Calibri"/>
    </font>
    <font>
      <color rgb="FFF6F8F9"/>
      <name val="Arial"/>
      <scheme val="minor"/>
    </font>
    <font>
      <u/>
      <color theme="1"/>
      <name val="Arial"/>
      <scheme val="minor"/>
    </font>
    <font>
      <sz val="11.0"/>
      <color rgb="FFFF0000"/>
      <name val="Calibri"/>
    </font>
    <font>
      <sz val="11.0"/>
      <color rgb="FF434343"/>
      <name val="Roboto"/>
    </font>
    <font>
      <u/>
      <color theme="1"/>
      <name val="Arial"/>
      <scheme val="minor"/>
    </font>
    <font>
      <u/>
      <color theme="1"/>
      <name val="Arial"/>
      <scheme val="minor"/>
    </font>
    <font>
      <color rgb="FF000000"/>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color rgb="FF1F1F1F"/>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b/>
      <sz val="9.0"/>
      <color rgb="FF434343"/>
      <name val="&quot;Open Sans&quot;"/>
    </font>
  </fonts>
  <fills count="36">
    <fill>
      <patternFill patternType="none"/>
    </fill>
    <fill>
      <patternFill patternType="lightGray"/>
    </fill>
    <fill>
      <patternFill patternType="solid">
        <fgColor rgb="FF3D85C6"/>
        <bgColor rgb="FF3D85C6"/>
      </patternFill>
    </fill>
    <fill>
      <patternFill patternType="solid">
        <fgColor rgb="FFFFFFFF"/>
        <bgColor rgb="FFFFFFFF"/>
      </patternFill>
    </fill>
    <fill>
      <patternFill patternType="solid">
        <fgColor rgb="FFF9CB9C"/>
        <bgColor rgb="FFF9CB9C"/>
      </patternFill>
    </fill>
    <fill>
      <patternFill patternType="solid">
        <fgColor rgb="FF6FA8DC"/>
        <bgColor rgb="FF6FA8DC"/>
      </patternFill>
    </fill>
    <fill>
      <patternFill patternType="solid">
        <fgColor rgb="FF00FF00"/>
        <bgColor rgb="FF00FF00"/>
      </patternFill>
    </fill>
    <fill>
      <patternFill patternType="solid">
        <fgColor theme="8"/>
        <bgColor theme="8"/>
      </patternFill>
    </fill>
    <fill>
      <patternFill patternType="solid">
        <fgColor rgb="FFFF9900"/>
        <bgColor rgb="FFFF9900"/>
      </patternFill>
    </fill>
    <fill>
      <patternFill patternType="solid">
        <fgColor rgb="FFEAD1DC"/>
        <bgColor rgb="FFEAD1DC"/>
      </patternFill>
    </fill>
    <fill>
      <patternFill patternType="solid">
        <fgColor rgb="FFFFFF00"/>
        <bgColor rgb="FFFFFF00"/>
      </patternFill>
    </fill>
    <fill>
      <patternFill patternType="solid">
        <fgColor rgb="FF71D4D4"/>
        <bgColor rgb="FF71D4D4"/>
      </patternFill>
    </fill>
    <fill>
      <patternFill patternType="solid">
        <fgColor rgb="FF00FFFF"/>
        <bgColor rgb="FF00FFFF"/>
      </patternFill>
    </fill>
    <fill>
      <patternFill patternType="solid">
        <fgColor rgb="FFB4A7D6"/>
        <bgColor rgb="FFB4A7D6"/>
      </patternFill>
    </fill>
    <fill>
      <patternFill patternType="solid">
        <fgColor rgb="FF6D9EEB"/>
        <bgColor rgb="FF6D9EEB"/>
      </patternFill>
    </fill>
    <fill>
      <patternFill patternType="solid">
        <fgColor rgb="FFF0F3F5"/>
        <bgColor rgb="FFF0F3F5"/>
      </patternFill>
    </fill>
    <fill>
      <patternFill patternType="solid">
        <fgColor rgb="FFFF00FF"/>
        <bgColor rgb="FFFF00FF"/>
      </patternFill>
    </fill>
    <fill>
      <patternFill patternType="solid">
        <fgColor rgb="FF4A86E8"/>
        <bgColor rgb="FF4A86E8"/>
      </patternFill>
    </fill>
    <fill>
      <patternFill patternType="solid">
        <fgColor rgb="FFCCCCCC"/>
        <bgColor rgb="FFCCCCCC"/>
      </patternFill>
    </fill>
    <fill>
      <patternFill patternType="solid">
        <fgColor rgb="FFF1C232"/>
        <bgColor rgb="FFF1C232"/>
      </patternFill>
    </fill>
    <fill>
      <patternFill patternType="solid">
        <fgColor rgb="FFFCE5CD"/>
        <bgColor rgb="FFFCE5CD"/>
      </patternFill>
    </fill>
    <fill>
      <patternFill patternType="solid">
        <fgColor rgb="FFF6B26B"/>
        <bgColor rgb="FFF6B26B"/>
      </patternFill>
    </fill>
    <fill>
      <patternFill patternType="solid">
        <fgColor rgb="FF8E7CC3"/>
        <bgColor rgb="FF8E7CC3"/>
      </patternFill>
    </fill>
    <fill>
      <patternFill patternType="solid">
        <fgColor rgb="FFD5A6BD"/>
        <bgColor rgb="FFD5A6BD"/>
      </patternFill>
    </fill>
    <fill>
      <patternFill patternType="solid">
        <fgColor theme="0"/>
        <bgColor theme="0"/>
      </patternFill>
    </fill>
    <fill>
      <patternFill patternType="solid">
        <fgColor rgb="FFFFD966"/>
        <bgColor rgb="FFFFD966"/>
      </patternFill>
    </fill>
    <fill>
      <patternFill patternType="solid">
        <fgColor rgb="FFC27BA0"/>
        <bgColor rgb="FFC27BA0"/>
      </patternFill>
    </fill>
    <fill>
      <patternFill patternType="solid">
        <fgColor rgb="FFE06666"/>
        <bgColor rgb="FFE06666"/>
      </patternFill>
    </fill>
    <fill>
      <patternFill patternType="solid">
        <fgColor rgb="FFE69138"/>
        <bgColor rgb="FFE69138"/>
      </patternFill>
    </fill>
    <fill>
      <patternFill patternType="solid">
        <fgColor rgb="FF6AA84F"/>
        <bgColor rgb="FF6AA84F"/>
      </patternFill>
    </fill>
    <fill>
      <patternFill patternType="solid">
        <fgColor rgb="FFF6F8F9"/>
        <bgColor rgb="FFF6F8F9"/>
      </patternFill>
    </fill>
    <fill>
      <patternFill patternType="solid">
        <fgColor rgb="FF93C47D"/>
        <bgColor rgb="FF93C47D"/>
      </patternFill>
    </fill>
    <fill>
      <patternFill patternType="solid">
        <fgColor rgb="FFFF0000"/>
        <bgColor rgb="FFFF0000"/>
      </patternFill>
    </fill>
    <fill>
      <patternFill patternType="solid">
        <fgColor theme="6"/>
        <bgColor theme="6"/>
      </patternFill>
    </fill>
    <fill>
      <patternFill patternType="solid">
        <fgColor theme="9"/>
        <bgColor theme="9"/>
      </patternFill>
    </fill>
    <fill>
      <patternFill patternType="solid">
        <fgColor rgb="FFFFE599"/>
        <bgColor rgb="FFFFE599"/>
      </patternFill>
    </fill>
  </fills>
  <borders count="2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C4C7C5"/>
      </left>
      <right style="thin">
        <color rgb="FFC4C7C5"/>
      </right>
      <top style="thin">
        <color rgb="FFC4C7C5"/>
      </top>
      <bottom style="thin">
        <color rgb="FFC4C7C5"/>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right/>
      <top/>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right style="thin">
        <color rgb="FF284E3F"/>
      </right>
      <top style="thin">
        <color rgb="FFFFFFFF"/>
      </top>
      <bottom style="thin">
        <color rgb="FFFFFFFF"/>
      </bottom>
    </border>
    <border>
      <right style="thin">
        <color rgb="FF000000"/>
      </right>
    </border>
  </borders>
  <cellStyleXfs count="1">
    <xf borderId="0" fillId="0" fontId="0" numFmtId="0" applyAlignment="1" applyFont="1"/>
  </cellStyleXfs>
  <cellXfs count="928">
    <xf borderId="0" fillId="0" fontId="0" numFmtId="0" xfId="0" applyAlignment="1" applyFont="1">
      <alignment readingOrder="0" shrinkToFit="0" vertical="bottom" wrapText="0"/>
    </xf>
    <xf borderId="1" fillId="0" fontId="1" numFmtId="0" xfId="0" applyBorder="1" applyFont="1"/>
    <xf borderId="0" fillId="0" fontId="2" numFmtId="0" xfId="0" applyAlignment="1" applyFont="1">
      <alignment horizontal="center" vertical="bottom"/>
    </xf>
    <xf borderId="2" fillId="0" fontId="2" numFmtId="0" xfId="0" applyAlignment="1" applyBorder="1" applyFont="1">
      <alignment horizontal="center" vertical="bottom"/>
    </xf>
    <xf borderId="3" fillId="0" fontId="3" numFmtId="0" xfId="0" applyBorder="1" applyFont="1"/>
    <xf borderId="0" fillId="2" fontId="2" numFmtId="0" xfId="0" applyAlignment="1" applyFill="1" applyFont="1">
      <alignment horizontal="center" readingOrder="0" vertical="bottom"/>
    </xf>
    <xf borderId="4" fillId="0" fontId="3" numFmtId="0" xfId="0" applyBorder="1" applyFont="1"/>
    <xf borderId="0" fillId="3" fontId="1" numFmtId="0" xfId="0" applyFill="1" applyFont="1"/>
    <xf borderId="0" fillId="0" fontId="2" numFmtId="0" xfId="0" applyAlignment="1" applyFont="1">
      <alignment horizontal="center" readingOrder="0" vertical="bottom"/>
    </xf>
    <xf borderId="0" fillId="0" fontId="4" numFmtId="0" xfId="0" applyAlignment="1" applyFont="1">
      <alignment horizontal="center" vertical="bottom"/>
    </xf>
    <xf borderId="0" fillId="2" fontId="4" numFmtId="0" xfId="0" applyAlignment="1" applyFill="1" applyFont="1">
      <alignment horizontal="center" vertical="bottom"/>
    </xf>
    <xf borderId="2" fillId="0" fontId="4" numFmtId="0" xfId="0" applyAlignment="1" applyBorder="1" applyFont="1">
      <alignment horizontal="center" vertical="bottom"/>
    </xf>
    <xf borderId="0" fillId="0" fontId="5" numFmtId="0" xfId="0" applyAlignment="1" applyFont="1">
      <alignment horizontal="center" readingOrder="0"/>
    </xf>
    <xf borderId="0" fillId="0" fontId="4" numFmtId="0" xfId="0" applyAlignment="1" applyFont="1">
      <alignment horizontal="center" readingOrder="0" vertical="bottom"/>
    </xf>
    <xf borderId="0" fillId="3" fontId="2" numFmtId="0" xfId="0" applyAlignment="1" applyFill="1" applyFont="1">
      <alignment horizontal="center" readingOrder="0" vertical="bottom"/>
    </xf>
    <xf borderId="2" fillId="0" fontId="2" numFmtId="0" xfId="0" applyAlignment="1" applyBorder="1" applyFont="1">
      <alignment horizontal="center" readingOrder="0" vertical="bottom"/>
    </xf>
    <xf borderId="1" fillId="4" fontId="2" numFmtId="0" xfId="0" applyAlignment="1" applyBorder="1" applyFill="1" applyFont="1">
      <alignment horizontal="center" readingOrder="0" shrinkToFit="0" wrapText="1"/>
    </xf>
    <xf borderId="0" fillId="5" fontId="4" numFmtId="0" xfId="0" applyAlignment="1" applyFill="1" applyFont="1">
      <alignment horizontal="center" readingOrder="0" vertical="bottom"/>
    </xf>
    <xf borderId="1" fillId="4" fontId="2" numFmtId="0" xfId="0" applyAlignment="1" applyBorder="1" applyFill="1" applyFont="1">
      <alignment horizontal="center" shrinkToFit="0" wrapText="1"/>
    </xf>
    <xf borderId="0" fillId="5" fontId="2" numFmtId="0" xfId="0" applyAlignment="1" applyFill="1" applyFont="1">
      <alignment horizontal="center" readingOrder="0" vertical="bottom"/>
    </xf>
    <xf borderId="5" fillId="2" fontId="2" numFmtId="0" xfId="0" applyAlignment="1" applyBorder="1" applyFill="1" applyFont="1">
      <alignment horizontal="center" readingOrder="0" shrinkToFit="0" vertical="center" wrapText="1"/>
    </xf>
    <xf borderId="5" fillId="2" fontId="2" numFmtId="0" xfId="0" applyAlignment="1" applyBorder="1" applyFill="1" applyFont="1">
      <alignment horizontal="center" shrinkToFit="0" vertical="center" wrapText="1"/>
    </xf>
    <xf borderId="5" fillId="4" fontId="2" numFmtId="0" xfId="0" applyAlignment="1" applyBorder="1" applyFill="1" applyFont="1">
      <alignment horizontal="center" readingOrder="0" shrinkToFit="0" wrapText="1"/>
    </xf>
    <xf borderId="5" fillId="4" fontId="2" numFmtId="0" xfId="0" applyAlignment="1" applyBorder="1" applyFill="1" applyFont="1">
      <alignment horizontal="center" shrinkToFit="0" wrapText="1"/>
    </xf>
    <xf borderId="0" fillId="0" fontId="1" numFmtId="0" xfId="0" applyAlignment="1" applyFont="1">
      <alignment readingOrder="0" vertical="center"/>
    </xf>
    <xf borderId="5" fillId="4" fontId="6" numFmtId="0" xfId="0" applyAlignment="1" applyBorder="1" applyFill="1" applyFont="1">
      <alignment horizontal="center" readingOrder="0" shrinkToFit="0" vertical="center" wrapText="1"/>
    </xf>
    <xf borderId="5" fillId="3" fontId="2" numFmtId="0" xfId="0" applyAlignment="1" applyBorder="1" applyFill="1" applyFont="1">
      <alignment horizontal="center" readingOrder="0" shrinkToFit="0" vertical="center" wrapText="1"/>
    </xf>
    <xf borderId="1" fillId="4" fontId="6" numFmtId="0" xfId="0" applyAlignment="1" applyBorder="1" applyFill="1" applyFont="1">
      <alignment horizontal="center" shrinkToFit="0" vertical="center" wrapText="1"/>
    </xf>
    <xf borderId="5" fillId="4" fontId="2" numFmtId="0" xfId="0" applyAlignment="1" applyBorder="1" applyFill="1" applyFont="1">
      <alignment horizontal="center" readingOrder="0" shrinkToFit="0" vertical="center" wrapText="1"/>
    </xf>
    <xf borderId="0" fillId="0" fontId="7" numFmtId="0" xfId="0" applyFont="1"/>
    <xf borderId="1" fillId="4" fontId="2" numFmtId="0" xfId="0" applyAlignment="1" applyBorder="1" applyFill="1" applyFont="1">
      <alignment horizontal="center" shrinkToFit="0" vertical="center" wrapText="1"/>
    </xf>
    <xf borderId="0" fillId="0" fontId="1" numFmtId="0" xfId="0" applyAlignment="1" applyFont="1">
      <alignment vertical="center"/>
    </xf>
    <xf borderId="1" fillId="0" fontId="1" numFmtId="164" xfId="0" applyAlignment="1" applyBorder="1" applyFont="1" applyNumberFormat="1">
      <alignment horizontal="center" readingOrder="0" vertical="center"/>
    </xf>
    <xf borderId="1" fillId="3" fontId="1" numFmtId="164" xfId="0" applyAlignment="1" applyBorder="1" applyFill="1" applyFont="1" applyNumberFormat="1">
      <alignment horizontal="center" readingOrder="0" vertical="center"/>
    </xf>
    <xf borderId="1" fillId="0" fontId="1" numFmtId="0" xfId="0" applyAlignment="1" applyBorder="1" applyFont="1">
      <alignment horizontal="center" readingOrder="0" vertical="center"/>
    </xf>
    <xf borderId="1" fillId="3" fontId="1" numFmtId="0" xfId="0" applyAlignment="1" applyBorder="1" applyFill="1" applyFont="1">
      <alignment horizontal="center" readingOrder="0" vertical="center"/>
    </xf>
    <xf borderId="1" fillId="6" fontId="1" numFmtId="165" xfId="0" applyAlignment="1" applyBorder="1" applyFill="1" applyFont="1" applyNumberFormat="1">
      <alignment horizontal="center" readingOrder="0" vertical="center"/>
    </xf>
    <xf borderId="1" fillId="3" fontId="1" numFmtId="165" xfId="0" applyAlignment="1" applyBorder="1" applyFill="1" applyFont="1" applyNumberFormat="1">
      <alignment horizontal="center" readingOrder="0" vertical="center"/>
    </xf>
    <xf borderId="0" fillId="4" fontId="2" numFmtId="0" xfId="0" applyAlignment="1" applyFill="1" applyFont="1">
      <alignment horizontal="center" shrinkToFit="0" vertical="center" wrapText="1"/>
    </xf>
    <xf borderId="5" fillId="7" fontId="1" numFmtId="166" xfId="0" applyAlignment="1" applyBorder="1" applyFill="1" applyFont="1" applyNumberFormat="1">
      <alignment horizontal="center" readingOrder="0" vertical="center"/>
    </xf>
    <xf borderId="5" fillId="5" fontId="2" numFmtId="0" xfId="0" applyAlignment="1" applyBorder="1" applyFill="1" applyFont="1">
      <alignment horizontal="center" readingOrder="0" shrinkToFit="0" vertical="center" wrapText="1"/>
    </xf>
    <xf borderId="1" fillId="0" fontId="1" numFmtId="165" xfId="0" applyAlignment="1" applyBorder="1" applyFont="1" applyNumberFormat="1">
      <alignment horizontal="center" readingOrder="0" vertical="center"/>
    </xf>
    <xf borderId="1" fillId="7" fontId="1" numFmtId="165" xfId="0" applyAlignment="1" applyBorder="1" applyFill="1" applyFont="1" applyNumberFormat="1">
      <alignment horizontal="center" readingOrder="0" vertical="center"/>
    </xf>
    <xf borderId="1" fillId="5" fontId="2" numFmtId="0" xfId="0" applyAlignment="1" applyBorder="1" applyFill="1" applyFont="1">
      <alignment horizontal="center" shrinkToFit="0" vertical="center" wrapText="1"/>
    </xf>
    <xf borderId="1" fillId="0" fontId="1" numFmtId="166" xfId="0" applyAlignment="1" applyBorder="1" applyFont="1" applyNumberFormat="1">
      <alignment horizontal="center" readingOrder="0" vertical="center"/>
    </xf>
    <xf borderId="0" fillId="3" fontId="2" numFmtId="0" xfId="0" applyAlignment="1" applyFill="1" applyFont="1">
      <alignment horizontal="center" shrinkToFit="0" vertical="center" wrapText="1"/>
    </xf>
    <xf borderId="1" fillId="8" fontId="1" numFmtId="164" xfId="0" applyAlignment="1" applyBorder="1" applyFill="1" applyFont="1" applyNumberFormat="1">
      <alignment readingOrder="0" vertical="center"/>
    </xf>
    <xf borderId="1" fillId="0" fontId="7" numFmtId="164" xfId="0" applyAlignment="1" applyBorder="1" applyFont="1" applyNumberFormat="1">
      <alignment horizontal="center" readingOrder="0" shrinkToFit="0" vertical="center" wrapText="1"/>
    </xf>
    <xf borderId="5" fillId="0" fontId="1" numFmtId="164" xfId="0" applyAlignment="1" applyBorder="1" applyFont="1" applyNumberFormat="1">
      <alignment horizontal="center" readingOrder="0" vertical="center"/>
    </xf>
    <xf borderId="1" fillId="0" fontId="7" numFmtId="0" xfId="0" applyAlignment="1" applyBorder="1" applyFont="1">
      <alignment horizontal="center" readingOrder="0" shrinkToFit="0" vertical="center" wrapText="1"/>
    </xf>
    <xf borderId="1" fillId="3" fontId="8" numFmtId="0" xfId="0" applyAlignment="1" applyBorder="1" applyFill="1" applyFont="1">
      <alignment readingOrder="0" vertical="center"/>
    </xf>
    <xf borderId="0" fillId="3" fontId="1" numFmtId="0" xfId="0" applyAlignment="1" applyFill="1" applyFont="1">
      <alignment vertical="center"/>
    </xf>
    <xf borderId="1" fillId="7" fontId="7" numFmtId="165" xfId="0" applyAlignment="1" applyBorder="1" applyFill="1" applyFont="1" applyNumberFormat="1">
      <alignment horizontal="center" readingOrder="0" shrinkToFit="0" vertical="center" wrapText="1"/>
    </xf>
    <xf borderId="1" fillId="3" fontId="8" numFmtId="167" xfId="0" applyAlignment="1" applyBorder="1" applyFill="1" applyFont="1" applyNumberFormat="1">
      <alignment readingOrder="0" vertical="center"/>
    </xf>
    <xf borderId="1" fillId="0" fontId="8" numFmtId="0" xfId="0" applyAlignment="1" applyBorder="1" applyFont="1">
      <alignment shrinkToFit="0" vertical="center" wrapText="1"/>
    </xf>
    <xf borderId="1" fillId="0" fontId="7" numFmtId="164" xfId="0" applyAlignment="1" applyBorder="1" applyFont="1" applyNumberFormat="1">
      <alignment horizontal="center" readingOrder="0" vertical="center"/>
    </xf>
    <xf borderId="1" fillId="3" fontId="8" numFmtId="0" xfId="0" applyAlignment="1" applyBorder="1" applyFill="1" applyFont="1">
      <alignment horizontal="center" readingOrder="0" vertical="center"/>
    </xf>
    <xf borderId="1" fillId="0" fontId="7" numFmtId="0" xfId="0" applyAlignment="1" applyBorder="1" applyFont="1">
      <alignment horizontal="center" readingOrder="0" vertical="center"/>
    </xf>
    <xf borderId="1" fillId="0" fontId="7" numFmtId="0" xfId="0" applyAlignment="1" applyBorder="1" applyFont="1">
      <alignment horizontal="center" readingOrder="0" shrinkToFit="0" vertical="center" wrapText="0"/>
    </xf>
    <xf borderId="1" fillId="3" fontId="9" numFmtId="167" xfId="0" applyAlignment="1" applyBorder="1" applyFill="1" applyFont="1" applyNumberFormat="1">
      <alignment horizontal="right"/>
    </xf>
    <xf borderId="1" fillId="7" fontId="7" numFmtId="165" xfId="0" applyAlignment="1" applyBorder="1" applyFill="1" applyFont="1" applyNumberFormat="1">
      <alignment horizontal="center" readingOrder="0" vertical="center"/>
    </xf>
    <xf borderId="1" fillId="3" fontId="7" numFmtId="0" xfId="0" applyAlignment="1" applyBorder="1" applyFill="1" applyFont="1">
      <alignment horizontal="center" readingOrder="0" shrinkToFit="0" vertical="center" wrapText="1"/>
    </xf>
    <xf borderId="1" fillId="9" fontId="1" numFmtId="164" xfId="0" applyAlignment="1" applyBorder="1" applyFill="1" applyFont="1" applyNumberFormat="1">
      <alignment horizontal="center" readingOrder="0" vertical="center"/>
    </xf>
    <xf borderId="5" fillId="0" fontId="7" numFmtId="164" xfId="0" applyAlignment="1" applyBorder="1" applyFont="1" applyNumberFormat="1">
      <alignment horizontal="center" readingOrder="0" vertical="center"/>
    </xf>
    <xf borderId="1" fillId="3" fontId="7" numFmtId="165" xfId="0" applyAlignment="1" applyBorder="1" applyFill="1" applyFont="1" applyNumberFormat="1">
      <alignment horizontal="center" readingOrder="0" shrinkToFit="0" vertical="center" wrapText="1"/>
    </xf>
    <xf borderId="1" fillId="6" fontId="1" numFmtId="0" xfId="0" applyAlignment="1" applyBorder="1" applyFill="1" applyFont="1">
      <alignment horizontal="center" readingOrder="0" vertical="center"/>
    </xf>
    <xf borderId="1" fillId="3" fontId="7" numFmtId="168" xfId="0" applyAlignment="1" applyBorder="1" applyFill="1" applyFont="1" applyNumberFormat="1">
      <alignment horizontal="center" readingOrder="0" shrinkToFit="0" vertical="center" wrapText="1"/>
    </xf>
    <xf borderId="0" fillId="3" fontId="7" numFmtId="0" xfId="0" applyAlignment="1" applyFill="1" applyFont="1">
      <alignment readingOrder="0" vertical="center"/>
    </xf>
    <xf borderId="0" fillId="0" fontId="7" numFmtId="0" xfId="0" applyAlignment="1" applyFont="1">
      <alignment readingOrder="0" vertical="center"/>
    </xf>
    <xf borderId="1" fillId="10" fontId="1" numFmtId="0" xfId="0" applyAlignment="1" applyBorder="1" applyFill="1" applyFont="1">
      <alignment horizontal="center" readingOrder="0" vertical="center"/>
    </xf>
    <xf borderId="1" fillId="3" fontId="1" numFmtId="0" xfId="0" applyBorder="1" applyFill="1" applyFont="1"/>
    <xf borderId="6" fillId="0" fontId="3" numFmtId="0" xfId="0" applyBorder="1" applyFont="1"/>
    <xf borderId="1" fillId="3" fontId="1" numFmtId="0" xfId="0" applyAlignment="1" applyBorder="1" applyFill="1" applyFont="1">
      <alignment horizontal="center" readingOrder="0" shrinkToFit="0" vertical="center" wrapText="1"/>
    </xf>
    <xf borderId="1" fillId="3" fontId="8" numFmtId="167" xfId="0" applyAlignment="1" applyBorder="1" applyFill="1" applyFont="1" applyNumberFormat="1">
      <alignment horizontal="center" readingOrder="0" vertical="center"/>
    </xf>
    <xf borderId="5" fillId="0" fontId="7" numFmtId="0" xfId="0" applyAlignment="1" applyBorder="1" applyFont="1">
      <alignment horizontal="center" readingOrder="0" shrinkToFit="0" vertical="center" wrapText="1"/>
    </xf>
    <xf borderId="1" fillId="10" fontId="1" numFmtId="0" xfId="0" applyAlignment="1" applyBorder="1" applyFill="1" applyFont="1">
      <alignment horizontal="center" readingOrder="0" shrinkToFit="0" vertical="center" wrapText="1"/>
    </xf>
    <xf borderId="5" fillId="0" fontId="7" numFmtId="165"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5" fillId="3" fontId="1" numFmtId="0" xfId="0" applyAlignment="1" applyBorder="1" applyFill="1" applyFont="1">
      <alignment horizontal="center" readingOrder="0" vertical="center"/>
    </xf>
    <xf borderId="5" fillId="0" fontId="7" numFmtId="164" xfId="0" applyAlignment="1" applyBorder="1" applyFont="1" applyNumberFormat="1">
      <alignment horizontal="center" readingOrder="0" shrinkToFit="0" vertical="center" wrapText="1"/>
    </xf>
    <xf borderId="5" fillId="3" fontId="1" numFmtId="165" xfId="0" applyAlignment="1" applyBorder="1" applyFill="1" applyFont="1" applyNumberFormat="1">
      <alignment horizontal="center" readingOrder="0" vertical="center"/>
    </xf>
    <xf borderId="5" fillId="0" fontId="8" numFmtId="167" xfId="0" applyAlignment="1" applyBorder="1" applyFont="1" applyNumberFormat="1">
      <alignment horizontal="center" readingOrder="0" vertical="center"/>
    </xf>
    <xf borderId="5" fillId="3" fontId="1" numFmtId="164" xfId="0" applyAlignment="1" applyBorder="1" applyFill="1" applyFont="1" applyNumberFormat="1">
      <alignment horizontal="center" readingOrder="0" vertical="center"/>
    </xf>
    <xf borderId="5" fillId="0" fontId="1" numFmtId="0" xfId="0" applyAlignment="1" applyBorder="1" applyFont="1">
      <alignment horizontal="center" readingOrder="0" vertical="center"/>
    </xf>
    <xf borderId="5" fillId="3" fontId="7" numFmtId="164" xfId="0" applyAlignment="1" applyBorder="1" applyFill="1" applyFont="1" applyNumberFormat="1">
      <alignment horizontal="center" readingOrder="0" shrinkToFit="0" vertical="center" wrapText="1"/>
    </xf>
    <xf borderId="1" fillId="0" fontId="8" numFmtId="0" xfId="0" applyAlignment="1" applyBorder="1" applyFont="1">
      <alignment horizontal="center" vertical="center"/>
    </xf>
    <xf borderId="1" fillId="0" fontId="1" numFmtId="169" xfId="0" applyAlignment="1" applyBorder="1" applyFont="1" applyNumberFormat="1">
      <alignment horizontal="center" readingOrder="0" vertical="center"/>
    </xf>
    <xf borderId="1" fillId="3" fontId="7" numFmtId="164" xfId="0" applyAlignment="1" applyBorder="1" applyFill="1" applyFont="1" applyNumberFormat="1">
      <alignment horizontal="center" readingOrder="0" shrinkToFit="0" vertical="center" wrapText="1"/>
    </xf>
    <xf borderId="1" fillId="10" fontId="7" numFmtId="164" xfId="0" applyAlignment="1" applyBorder="1" applyFill="1" applyFont="1" applyNumberFormat="1">
      <alignment horizontal="center" readingOrder="0" shrinkToFit="0" vertical="center" wrapText="1"/>
    </xf>
    <xf borderId="0" fillId="0" fontId="1" numFmtId="0" xfId="0" applyAlignment="1" applyFont="1">
      <alignment horizontal="center" vertical="center"/>
    </xf>
    <xf borderId="1" fillId="10" fontId="7" numFmtId="0" xfId="0" applyAlignment="1" applyBorder="1" applyFill="1" applyFont="1">
      <alignment horizontal="center" shrinkToFit="0" vertical="center" wrapText="1"/>
    </xf>
    <xf borderId="1" fillId="0" fontId="8" numFmtId="0" xfId="0" applyAlignment="1" applyBorder="1" applyFont="1">
      <alignment horizontal="center" readingOrder="0" vertical="center"/>
    </xf>
    <xf borderId="1" fillId="10" fontId="7" numFmtId="165" xfId="0" applyAlignment="1" applyBorder="1" applyFill="1" applyFont="1" applyNumberFormat="1">
      <alignment horizontal="center" readingOrder="0" shrinkToFit="0" vertical="center" wrapText="1"/>
    </xf>
    <xf borderId="1" fillId="3" fontId="1" numFmtId="0" xfId="0" applyAlignment="1" applyBorder="1" applyFill="1" applyFont="1">
      <alignment horizontal="center" vertical="center"/>
    </xf>
    <xf borderId="1" fillId="0" fontId="8" numFmtId="165" xfId="0" applyAlignment="1" applyBorder="1" applyFont="1" applyNumberFormat="1">
      <alignment horizontal="center" readingOrder="0" vertical="center"/>
    </xf>
    <xf borderId="0" fillId="3" fontId="8" numFmtId="0" xfId="0" applyAlignment="1" applyFill="1" applyFont="1">
      <alignment shrinkToFit="0" wrapText="1"/>
    </xf>
    <xf borderId="7" fillId="0" fontId="3" numFmtId="0" xfId="0" applyBorder="1" applyFont="1"/>
    <xf borderId="1" fillId="0" fontId="8" numFmtId="0" xfId="0" applyAlignment="1" applyBorder="1" applyFont="1">
      <alignment horizontal="center" readingOrder="0" shrinkToFit="0" vertical="center" wrapText="1"/>
    </xf>
    <xf borderId="1" fillId="3" fontId="8" numFmtId="165" xfId="0" applyAlignment="1" applyBorder="1" applyFill="1" applyFont="1" applyNumberFormat="1">
      <alignment horizontal="center" readingOrder="0" vertical="center"/>
    </xf>
    <xf borderId="1" fillId="3" fontId="5" numFmtId="164" xfId="0" applyAlignment="1" applyBorder="1" applyFill="1" applyFont="1" applyNumberFormat="1">
      <alignment horizontal="center" readingOrder="0" vertical="center"/>
    </xf>
    <xf borderId="0" fillId="3" fontId="5" numFmtId="164" xfId="0" applyAlignment="1" applyFill="1" applyFont="1" applyNumberFormat="1">
      <alignment horizontal="center" readingOrder="0" vertical="center"/>
    </xf>
    <xf borderId="1" fillId="3" fontId="8" numFmtId="0" xfId="0" applyAlignment="1" applyBorder="1" applyFill="1" applyFont="1">
      <alignment horizontal="center" shrinkToFit="0" vertical="center" wrapText="1"/>
    </xf>
    <xf borderId="1" fillId="3" fontId="1" numFmtId="0" xfId="0" applyAlignment="1" applyBorder="1" applyFill="1" applyFont="1">
      <alignment readingOrder="0" vertical="center"/>
    </xf>
    <xf borderId="1" fillId="3" fontId="1" numFmtId="167" xfId="0" applyAlignment="1" applyBorder="1" applyFill="1" applyFont="1" applyNumberFormat="1">
      <alignment readingOrder="0" vertical="center"/>
    </xf>
    <xf borderId="5" fillId="0" fontId="1" numFmtId="166" xfId="0" applyAlignment="1" applyBorder="1" applyFont="1" applyNumberFormat="1">
      <alignment horizontal="center" readingOrder="0" vertical="center"/>
    </xf>
    <xf borderId="1" fillId="3" fontId="1" numFmtId="166" xfId="0" applyAlignment="1" applyBorder="1" applyFill="1" applyFont="1" applyNumberFormat="1">
      <alignment horizontal="center" readingOrder="0" vertical="center"/>
    </xf>
    <xf borderId="1" fillId="10" fontId="7" numFmtId="0" xfId="0" applyAlignment="1" applyBorder="1" applyFill="1" applyFont="1">
      <alignment horizontal="center" readingOrder="0" shrinkToFit="0" vertical="center" wrapText="1"/>
    </xf>
    <xf borderId="1" fillId="3" fontId="1" numFmtId="167" xfId="0" applyAlignment="1" applyBorder="1" applyFill="1" applyFont="1" applyNumberFormat="1">
      <alignment horizontal="center" readingOrder="0" vertical="center"/>
    </xf>
    <xf borderId="1" fillId="0" fontId="7" numFmtId="165" xfId="0" applyAlignment="1" applyBorder="1" applyFont="1" applyNumberFormat="1">
      <alignment horizontal="center" readingOrder="0" vertical="center"/>
    </xf>
    <xf borderId="1" fillId="0" fontId="1" numFmtId="164" xfId="0" applyAlignment="1" applyBorder="1" applyFont="1" applyNumberFormat="1">
      <alignment horizontal="center" readingOrder="0"/>
    </xf>
    <xf borderId="1" fillId="0" fontId="1" numFmtId="0" xfId="0" applyAlignment="1" applyBorder="1" applyFont="1">
      <alignment horizontal="center" readingOrder="0"/>
    </xf>
    <xf borderId="1" fillId="0" fontId="1" numFmtId="167" xfId="0" applyAlignment="1" applyBorder="1" applyFont="1" applyNumberFormat="1">
      <alignment readingOrder="0"/>
    </xf>
    <xf borderId="1" fillId="0" fontId="7" numFmtId="0" xfId="0" applyAlignment="1" applyBorder="1" applyFont="1">
      <alignment horizontal="center" shrinkToFit="0" vertical="center" wrapText="1"/>
    </xf>
    <xf borderId="0" fillId="0" fontId="10" numFmtId="0" xfId="0" applyAlignment="1" applyFont="1">
      <alignment horizontal="right" shrinkToFit="0" vertical="center" wrapText="1"/>
    </xf>
    <xf borderId="1" fillId="0" fontId="7" numFmtId="165" xfId="0" applyAlignment="1" applyBorder="1" applyFont="1" applyNumberFormat="1">
      <alignment horizontal="center" readingOrder="0" shrinkToFit="0" vertical="center" wrapText="1"/>
    </xf>
    <xf borderId="1" fillId="0" fontId="7" numFmtId="166" xfId="0" applyAlignment="1" applyBorder="1" applyFont="1" applyNumberFormat="1">
      <alignment horizontal="center" readingOrder="0" shrinkToFit="0" vertical="center" wrapText="1"/>
    </xf>
    <xf borderId="0" fillId="11" fontId="11" numFmtId="0" xfId="0" applyAlignment="1" applyFill="1" applyFont="1">
      <alignment horizontal="center" readingOrder="0" shrinkToFit="0" vertical="center" wrapText="1"/>
    </xf>
    <xf borderId="1" fillId="11" fontId="11" numFmtId="0" xfId="0" applyAlignment="1" applyBorder="1" applyFill="1" applyFont="1">
      <alignment horizontal="center" shrinkToFit="0" vertical="center" wrapText="1"/>
    </xf>
    <xf borderId="0" fillId="0" fontId="8" numFmtId="0" xfId="0" applyAlignment="1" applyFont="1">
      <alignment readingOrder="0" vertical="center"/>
    </xf>
    <xf borderId="0" fillId="0" fontId="1" numFmtId="0" xfId="0" applyAlignment="1" applyFont="1">
      <alignment horizontal="center" readingOrder="0"/>
    </xf>
    <xf borderId="1" fillId="11" fontId="11" numFmtId="170" xfId="0" applyAlignment="1" applyBorder="1" applyFill="1" applyFont="1" applyNumberFormat="1">
      <alignment horizontal="center" shrinkToFit="0" vertical="center" wrapText="1"/>
    </xf>
    <xf borderId="2" fillId="0" fontId="2" numFmtId="0" xfId="0" applyAlignment="1" applyBorder="1" applyFont="1">
      <alignment horizontal="center" readingOrder="0" vertical="center"/>
    </xf>
    <xf borderId="1" fillId="0" fontId="8" numFmtId="167" xfId="0" applyAlignment="1" applyBorder="1" applyFont="1" applyNumberFormat="1">
      <alignment horizontal="center" readingOrder="0" vertical="center"/>
    </xf>
    <xf borderId="1" fillId="6" fontId="11" numFmtId="0" xfId="0" applyAlignment="1" applyBorder="1" applyFill="1" applyFont="1">
      <alignment horizontal="center" readingOrder="0" shrinkToFit="0" vertical="center" wrapText="1"/>
    </xf>
    <xf borderId="1" fillId="0" fontId="1" numFmtId="0" xfId="0" applyAlignment="1" applyBorder="1" applyFont="1">
      <alignment horizontal="center" readingOrder="0" shrinkToFit="0" wrapText="1"/>
    </xf>
    <xf borderId="1" fillId="12" fontId="11" numFmtId="0" xfId="0" applyAlignment="1" applyBorder="1" applyFill="1" applyFont="1">
      <alignment horizontal="center" readingOrder="0" shrinkToFit="0" vertical="center" wrapText="1"/>
    </xf>
    <xf borderId="1" fillId="3" fontId="8" numFmtId="165" xfId="0" applyAlignment="1" applyBorder="1" applyFill="1" applyFont="1" applyNumberFormat="1">
      <alignment horizontal="center" readingOrder="0" shrinkToFit="0" vertical="center" wrapText="1"/>
    </xf>
    <xf borderId="1" fillId="0" fontId="1" numFmtId="0" xfId="0" applyAlignment="1" applyBorder="1" applyFont="1">
      <alignment horizontal="center" vertical="center"/>
    </xf>
    <xf borderId="0" fillId="0" fontId="8" numFmtId="0" xfId="0" applyAlignment="1" applyFont="1">
      <alignment readingOrder="0" shrinkToFit="0" vertical="center" wrapText="1"/>
    </xf>
    <xf borderId="1" fillId="0" fontId="1" numFmtId="165" xfId="0" applyAlignment="1" applyBorder="1" applyFont="1" applyNumberFormat="1">
      <alignment horizontal="center" readingOrder="0" shrinkToFit="0" vertical="center" wrapText="1"/>
    </xf>
    <xf borderId="1" fillId="0" fontId="8" numFmtId="0" xfId="0" applyAlignment="1" applyBorder="1" applyFont="1">
      <alignment shrinkToFit="0" vertical="center" wrapText="1"/>
    </xf>
    <xf borderId="1" fillId="0" fontId="7" numFmtId="0" xfId="0" applyAlignment="1" applyBorder="1" applyFont="1">
      <alignment readingOrder="0"/>
    </xf>
    <xf borderId="1" fillId="3" fontId="1" numFmtId="0" xfId="0" applyAlignment="1" applyBorder="1" applyFill="1" applyFont="1">
      <alignment readingOrder="0" shrinkToFit="0" vertical="center" wrapText="1"/>
    </xf>
    <xf borderId="1" fillId="0" fontId="7" numFmtId="165" xfId="0" applyAlignment="1" applyBorder="1" applyFont="1" applyNumberFormat="1">
      <alignment horizontal="center" readingOrder="0"/>
    </xf>
    <xf borderId="1" fillId="0" fontId="8" numFmtId="170" xfId="0" applyAlignment="1" applyBorder="1" applyFont="1" applyNumberFormat="1">
      <alignment shrinkToFit="0" vertical="center" wrapText="1"/>
    </xf>
    <xf borderId="1" fillId="13" fontId="1" numFmtId="167" xfId="0" applyAlignment="1" applyBorder="1" applyFill="1" applyFont="1" applyNumberFormat="1">
      <alignment readingOrder="0" vertical="center"/>
    </xf>
    <xf borderId="1" fillId="0" fontId="7" numFmtId="164" xfId="0" applyAlignment="1" applyBorder="1" applyFont="1" applyNumberFormat="1">
      <alignment horizontal="center" readingOrder="0"/>
    </xf>
    <xf borderId="1" fillId="6" fontId="8" numFmtId="165" xfId="0" applyAlignment="1" applyBorder="1" applyFill="1" applyFont="1" applyNumberFormat="1">
      <alignment horizontal="right" shrinkToFit="0" vertical="center" wrapText="1"/>
    </xf>
    <xf borderId="1" fillId="12" fontId="8" numFmtId="165" xfId="0" applyAlignment="1" applyBorder="1" applyFill="1" applyFont="1" applyNumberFormat="1">
      <alignment horizontal="right" readingOrder="0" shrinkToFit="0" vertical="center" wrapText="1"/>
    </xf>
    <xf borderId="1" fillId="10" fontId="1" numFmtId="165" xfId="0" applyAlignment="1" applyBorder="1" applyFill="1" applyFont="1" applyNumberFormat="1">
      <alignment horizontal="center" readingOrder="0" vertical="center"/>
    </xf>
    <xf borderId="1" fillId="3" fontId="1" numFmtId="0" xfId="0" applyAlignment="1" applyBorder="1" applyFill="1" applyFont="1">
      <alignment horizontal="center"/>
    </xf>
    <xf borderId="5" fillId="7" fontId="1" numFmtId="164" xfId="0" applyAlignment="1" applyBorder="1" applyFill="1" applyFont="1" applyNumberFormat="1">
      <alignment horizontal="center" readingOrder="0" vertical="center"/>
    </xf>
    <xf borderId="1" fillId="12" fontId="8" numFmtId="165" xfId="0" applyAlignment="1" applyBorder="1" applyFill="1" applyFont="1" applyNumberFormat="1">
      <alignment horizontal="right" shrinkToFit="0" vertical="center" wrapText="1"/>
    </xf>
    <xf borderId="0" fillId="0" fontId="1" numFmtId="0" xfId="0" applyAlignment="1" applyFont="1">
      <alignment horizontal="center"/>
    </xf>
    <xf borderId="1" fillId="0" fontId="1" numFmtId="165" xfId="0" applyAlignment="1" applyBorder="1" applyFont="1" applyNumberFormat="1">
      <alignment horizontal="center" vertical="center"/>
    </xf>
    <xf borderId="1" fillId="3" fontId="7" numFmtId="0" xfId="0" applyAlignment="1" applyBorder="1" applyFill="1" applyFont="1">
      <alignment horizontal="center" shrinkToFit="0" vertical="center" wrapText="1"/>
    </xf>
    <xf borderId="1" fillId="0" fontId="8" numFmtId="171" xfId="0" applyAlignment="1" applyBorder="1" applyFont="1" applyNumberFormat="1">
      <alignment shrinkToFit="0" vertical="center" wrapText="1"/>
    </xf>
    <xf borderId="0" fillId="3" fontId="1" numFmtId="0" xfId="0" applyAlignment="1" applyFill="1" applyFont="1">
      <alignment horizontal="center" vertical="center"/>
    </xf>
    <xf borderId="0" fillId="0" fontId="6" numFmtId="0" xfId="0" applyFont="1"/>
    <xf borderId="1" fillId="0" fontId="8" numFmtId="0" xfId="0" applyAlignment="1" applyBorder="1" applyFont="1">
      <alignment readingOrder="0" shrinkToFit="0" vertical="center" wrapText="1"/>
    </xf>
    <xf borderId="1" fillId="3" fontId="1" numFmtId="165" xfId="0" applyAlignment="1" applyBorder="1" applyFill="1" applyFont="1" applyNumberFormat="1">
      <alignment horizontal="center" readingOrder="0" shrinkToFit="0" vertical="center" wrapText="1"/>
    </xf>
    <xf borderId="1" fillId="3" fontId="7" numFmtId="164" xfId="0" applyAlignment="1" applyBorder="1" applyFill="1" applyFont="1" applyNumberFormat="1">
      <alignment horizontal="center" readingOrder="0" vertical="center"/>
    </xf>
    <xf borderId="1" fillId="3" fontId="7" numFmtId="0" xfId="0" applyAlignment="1" applyBorder="1" applyFill="1" applyFont="1">
      <alignment readingOrder="0"/>
    </xf>
    <xf borderId="1" fillId="3" fontId="8" numFmtId="0" xfId="0" applyAlignment="1" applyBorder="1" applyFill="1" applyFont="1">
      <alignment horizontal="center" shrinkToFit="0" vertical="center" wrapText="1"/>
    </xf>
    <xf borderId="1" fillId="3" fontId="7" numFmtId="165" xfId="0" applyAlignment="1" applyBorder="1" applyFill="1" applyFont="1" applyNumberFormat="1">
      <alignment horizontal="center" readingOrder="0"/>
    </xf>
    <xf borderId="1" fillId="3" fontId="7" numFmtId="164" xfId="0" applyAlignment="1" applyBorder="1" applyFill="1" applyFont="1" applyNumberFormat="1">
      <alignment horizontal="center" readingOrder="0"/>
    </xf>
    <xf borderId="0" fillId="3" fontId="7" numFmtId="0" xfId="0" applyFill="1" applyFont="1"/>
    <xf borderId="0" fillId="3" fontId="1" numFmtId="0" xfId="0" applyAlignment="1" applyFill="1" applyFont="1">
      <alignment horizontal="center"/>
    </xf>
    <xf borderId="1" fillId="0" fontId="1" numFmtId="164" xfId="0" applyAlignment="1" applyBorder="1" applyFont="1" applyNumberFormat="1">
      <alignment horizontal="center" readingOrder="0" shrinkToFit="0" vertical="center" wrapText="1"/>
    </xf>
    <xf borderId="0" fillId="0" fontId="8" numFmtId="167" xfId="0" applyAlignment="1" applyFont="1" applyNumberFormat="1">
      <alignment readingOrder="0" vertical="center"/>
    </xf>
    <xf borderId="0" fillId="0" fontId="1" numFmtId="164" xfId="0" applyAlignment="1" applyFont="1" applyNumberFormat="1">
      <alignment horizontal="center" readingOrder="0" vertical="center"/>
    </xf>
    <xf borderId="0" fillId="0" fontId="1" numFmtId="0" xfId="0" applyAlignment="1" applyFont="1">
      <alignment horizontal="center" readingOrder="0" shrinkToFit="0" wrapText="1"/>
    </xf>
    <xf borderId="0" fillId="0" fontId="1" numFmtId="0" xfId="0" applyAlignment="1" applyFont="1">
      <alignment horizontal="center" readingOrder="0" shrinkToFit="0" vertical="center" wrapText="1"/>
    </xf>
    <xf borderId="1" fillId="6" fontId="1" numFmtId="0" xfId="0" applyAlignment="1" applyBorder="1" applyFill="1" applyFont="1">
      <alignment horizontal="center" readingOrder="0"/>
    </xf>
    <xf borderId="1" fillId="0" fontId="8" numFmtId="0" xfId="0" applyAlignment="1" applyBorder="1" applyFont="1">
      <alignment vertical="center"/>
    </xf>
    <xf borderId="1" fillId="3" fontId="1" numFmtId="0" xfId="0" applyAlignment="1" applyBorder="1" applyFill="1" applyFont="1">
      <alignment horizontal="center" readingOrder="0"/>
    </xf>
    <xf borderId="1" fillId="0" fontId="8" numFmtId="0" xfId="0" applyAlignment="1" applyBorder="1" applyFont="1">
      <alignment shrinkToFit="0" wrapText="1"/>
    </xf>
    <xf borderId="1" fillId="0" fontId="1" numFmtId="167" xfId="0" applyAlignment="1" applyBorder="1" applyFont="1" applyNumberFormat="1">
      <alignment horizontal="center" readingOrder="0" vertical="center"/>
    </xf>
    <xf borderId="0" fillId="3" fontId="1" numFmtId="165" xfId="0" applyAlignment="1" applyFill="1" applyFont="1" applyNumberFormat="1">
      <alignment horizontal="center" readingOrder="0" shrinkToFit="0" vertical="center" wrapText="1"/>
    </xf>
    <xf borderId="0" fillId="3" fontId="1" numFmtId="0" xfId="0" applyAlignment="1" applyFill="1" applyFont="1">
      <alignment horizontal="center" readingOrder="0" vertical="center"/>
    </xf>
    <xf borderId="0" fillId="3" fontId="1" numFmtId="166" xfId="0" applyAlignment="1" applyFill="1" applyFont="1" applyNumberFormat="1">
      <alignment horizontal="center" readingOrder="0" vertical="center"/>
    </xf>
    <xf borderId="0" fillId="3" fontId="6" numFmtId="0" xfId="0" applyFill="1" applyFont="1"/>
    <xf borderId="1" fillId="0" fontId="1" numFmtId="164" xfId="0" applyAlignment="1" applyBorder="1" applyFont="1" applyNumberFormat="1">
      <alignment readingOrder="0"/>
    </xf>
    <xf borderId="1" fillId="0" fontId="1" numFmtId="0" xfId="0" applyAlignment="1" applyBorder="1" applyFont="1">
      <alignment readingOrder="0"/>
    </xf>
    <xf borderId="1" fillId="6" fontId="1" numFmtId="164" xfId="0" applyAlignment="1" applyBorder="1" applyFill="1" applyFont="1" applyNumberFormat="1">
      <alignment horizontal="center" readingOrder="0" vertical="center"/>
    </xf>
    <xf borderId="0" fillId="3" fontId="1" numFmtId="164" xfId="0" applyAlignment="1" applyFill="1" applyFont="1" applyNumberFormat="1">
      <alignment horizontal="center" readingOrder="0" shrinkToFit="0" vertical="center" wrapText="1"/>
    </xf>
    <xf borderId="1" fillId="3" fontId="1" numFmtId="172" xfId="0" applyAlignment="1" applyBorder="1" applyFill="1" applyFont="1" applyNumberFormat="1">
      <alignment horizontal="center" readingOrder="0" vertical="center"/>
    </xf>
    <xf borderId="1" fillId="0" fontId="8" numFmtId="0" xfId="0" applyAlignment="1" applyBorder="1" applyFont="1">
      <alignment readingOrder="0" vertical="center"/>
    </xf>
    <xf borderId="1" fillId="0" fontId="12" numFmtId="0" xfId="0" applyAlignment="1" applyBorder="1" applyFont="1">
      <alignment readingOrder="0" shrinkToFit="0" vertical="center" wrapText="1"/>
    </xf>
    <xf borderId="1" fillId="0" fontId="1" numFmtId="167" xfId="0" applyAlignment="1" applyBorder="1" applyFont="1" applyNumberFormat="1">
      <alignment horizontal="right" readingOrder="0" vertical="center"/>
    </xf>
    <xf borderId="0" fillId="14" fontId="1" numFmtId="0" xfId="0" applyAlignment="1" applyFill="1" applyFont="1">
      <alignment horizontal="center" readingOrder="0"/>
    </xf>
    <xf borderId="0" fillId="3" fontId="8" numFmtId="0" xfId="0" applyAlignment="1" applyFill="1" applyFont="1">
      <alignment vertical="center"/>
    </xf>
    <xf borderId="1" fillId="0" fontId="8" numFmtId="0" xfId="0" applyAlignment="1" applyBorder="1" applyFont="1">
      <alignment horizontal="center" shrinkToFit="0" vertical="center" wrapText="1"/>
    </xf>
    <xf borderId="0" fillId="3" fontId="8" numFmtId="0" xfId="0" applyAlignment="1" applyFill="1" applyFont="1">
      <alignment shrinkToFit="0" vertical="center" wrapText="1"/>
    </xf>
    <xf borderId="0" fillId="3" fontId="8" numFmtId="165" xfId="0" applyAlignment="1" applyFill="1" applyFont="1" applyNumberFormat="1">
      <alignment vertical="center"/>
    </xf>
    <xf borderId="0" fillId="14" fontId="8" numFmtId="0" xfId="0" applyAlignment="1" applyFill="1" applyFont="1">
      <alignment readingOrder="0" vertical="center"/>
    </xf>
    <xf borderId="1" fillId="0" fontId="1" numFmtId="0" xfId="0" applyAlignment="1" applyBorder="1" applyFont="1">
      <alignment horizontal="center"/>
    </xf>
    <xf borderId="1" fillId="0" fontId="13" numFmtId="0" xfId="0" applyAlignment="1" applyBorder="1" applyFont="1">
      <alignment horizontal="left" readingOrder="0" vertical="center"/>
    </xf>
    <xf borderId="0" fillId="3" fontId="1" numFmtId="0" xfId="0" applyAlignment="1" applyFill="1" applyFont="1">
      <alignment horizontal="center" readingOrder="0" shrinkToFit="0" vertical="center" wrapText="1"/>
    </xf>
    <xf borderId="1" fillId="10" fontId="1" numFmtId="167" xfId="0" applyAlignment="1" applyBorder="1" applyFill="1" applyFont="1" applyNumberFormat="1">
      <alignment readingOrder="0" vertical="center"/>
    </xf>
    <xf borderId="0" fillId="6" fontId="11" numFmtId="0" xfId="0" applyAlignment="1" applyFill="1" applyFont="1">
      <alignment readingOrder="0" vertical="center"/>
    </xf>
    <xf borderId="0" fillId="6" fontId="11" numFmtId="165" xfId="0" applyAlignment="1" applyFill="1" applyFont="1" applyNumberFormat="1">
      <alignment vertical="center"/>
    </xf>
    <xf borderId="1" fillId="0" fontId="14" numFmtId="0" xfId="0" applyAlignment="1" applyBorder="1" applyFont="1">
      <alignment readingOrder="0" vertical="top"/>
    </xf>
    <xf borderId="0" fillId="6" fontId="1" numFmtId="0" xfId="0" applyAlignment="1" applyFill="1" applyFont="1">
      <alignment horizontal="center" readingOrder="0" shrinkToFit="0" vertical="center" wrapText="1"/>
    </xf>
    <xf borderId="0" fillId="12" fontId="11" numFmtId="165" xfId="0" applyAlignment="1" applyFill="1" applyFont="1" applyNumberFormat="1">
      <alignment vertical="center"/>
    </xf>
    <xf borderId="1" fillId="15" fontId="15" numFmtId="167" xfId="0" applyAlignment="1" applyBorder="1" applyFill="1" applyFont="1" applyNumberFormat="1">
      <alignment readingOrder="0" vertical="top"/>
    </xf>
    <xf borderId="1" fillId="6" fontId="1" numFmtId="0" xfId="0" applyAlignment="1" applyBorder="1" applyFill="1" applyFont="1">
      <alignment horizontal="center" readingOrder="0" shrinkToFit="0" vertical="center" wrapText="1"/>
    </xf>
    <xf borderId="0" fillId="3" fontId="1" numFmtId="165" xfId="0" applyAlignment="1" applyFill="1" applyFont="1" applyNumberFormat="1">
      <alignment horizontal="center" readingOrder="0" vertical="center"/>
    </xf>
    <xf borderId="0" fillId="3" fontId="1" numFmtId="164" xfId="0" applyAlignment="1" applyFill="1" applyFont="1" applyNumberFormat="1">
      <alignment horizontal="center" readingOrder="0"/>
    </xf>
    <xf borderId="1" fillId="10" fontId="1" numFmtId="165" xfId="0" applyAlignment="1" applyBorder="1" applyFill="1" applyFont="1" applyNumberFormat="1">
      <alignment horizontal="center" readingOrder="0"/>
    </xf>
    <xf borderId="0" fillId="3" fontId="1" numFmtId="0" xfId="0" applyAlignment="1" applyFill="1" applyFont="1">
      <alignment horizontal="center" readingOrder="0"/>
    </xf>
    <xf borderId="1" fillId="11" fontId="11" numFmtId="0" xfId="0" applyAlignment="1" applyBorder="1" applyFill="1" applyFont="1">
      <alignment horizontal="center" shrinkToFit="0" vertical="top" wrapText="1"/>
    </xf>
    <xf borderId="0" fillId="0" fontId="15" numFmtId="0" xfId="0" applyFont="1"/>
    <xf borderId="0" fillId="0" fontId="8" numFmtId="0" xfId="0" applyAlignment="1" applyFont="1">
      <alignment horizontal="center" shrinkToFit="0" vertical="center" wrapText="1"/>
    </xf>
    <xf borderId="1" fillId="6" fontId="1" numFmtId="165" xfId="0" applyAlignment="1" applyBorder="1" applyFill="1" applyFont="1" applyNumberFormat="1">
      <alignment vertical="center"/>
    </xf>
    <xf borderId="0" fillId="0" fontId="8" numFmtId="0" xfId="0" applyAlignment="1" applyFont="1">
      <alignment horizontal="center" vertical="center"/>
    </xf>
    <xf borderId="1" fillId="11" fontId="11" numFmtId="0" xfId="0" applyAlignment="1" applyBorder="1" applyFill="1" applyFont="1">
      <alignment horizontal="center" shrinkToFit="0" vertical="bottom" wrapText="1"/>
    </xf>
    <xf borderId="1" fillId="0" fontId="1" numFmtId="0" xfId="0" applyAlignment="1" applyBorder="1" applyFont="1">
      <alignment vertical="center"/>
    </xf>
    <xf borderId="1" fillId="12" fontId="11" numFmtId="0" xfId="0" applyAlignment="1" applyBorder="1" applyFill="1" applyFont="1">
      <alignment horizontal="center" readingOrder="0" shrinkToFit="0" vertical="bottom" wrapText="1"/>
    </xf>
    <xf borderId="1" fillId="0" fontId="8" numFmtId="0" xfId="0" applyAlignment="1" applyBorder="1" applyFont="1">
      <alignment horizontal="right" readingOrder="0" shrinkToFit="0" vertical="center" wrapText="1"/>
    </xf>
    <xf borderId="1" fillId="12" fontId="8" numFmtId="0" xfId="0" applyAlignment="1" applyBorder="1" applyFill="1" applyFont="1">
      <alignment shrinkToFit="0" vertical="center" wrapText="1"/>
    </xf>
    <xf borderId="1" fillId="12" fontId="8" numFmtId="171" xfId="0" applyAlignment="1" applyBorder="1" applyFill="1" applyFont="1" applyNumberFormat="1">
      <alignment horizontal="right" shrinkToFit="0" vertical="center" wrapText="1"/>
    </xf>
    <xf borderId="1" fillId="3" fontId="1" numFmtId="165" xfId="0" applyAlignment="1" applyBorder="1" applyFill="1" applyFont="1" applyNumberFormat="1">
      <alignment horizontal="center" readingOrder="0"/>
    </xf>
    <xf borderId="1" fillId="0" fontId="8" numFmtId="165" xfId="0" applyAlignment="1" applyBorder="1" applyFont="1" applyNumberFormat="1">
      <alignment horizontal="right" shrinkToFit="0" vertical="center" wrapText="1"/>
    </xf>
    <xf borderId="0" fillId="5" fontId="8" numFmtId="0" xfId="0" applyAlignment="1" applyFill="1" applyFont="1">
      <alignment readingOrder="0" vertical="center"/>
    </xf>
    <xf borderId="1" fillId="0" fontId="1" numFmtId="165" xfId="0" applyAlignment="1" applyBorder="1" applyFont="1" applyNumberFormat="1">
      <alignment readingOrder="0" vertical="center"/>
    </xf>
    <xf borderId="0" fillId="12" fontId="1" numFmtId="165" xfId="0" applyAlignment="1" applyFill="1" applyFont="1" applyNumberFormat="1">
      <alignment horizontal="center"/>
    </xf>
    <xf borderId="0" fillId="3" fontId="1" numFmtId="165" xfId="0" applyAlignment="1" applyFill="1" applyFont="1" applyNumberFormat="1">
      <alignment horizontal="center"/>
    </xf>
    <xf borderId="5" fillId="3" fontId="1" numFmtId="164" xfId="0" applyAlignment="1" applyBorder="1" applyFill="1" applyFont="1" applyNumberFormat="1">
      <alignment readingOrder="0" vertical="center"/>
    </xf>
    <xf borderId="0" fillId="0" fontId="1" numFmtId="0" xfId="0" applyAlignment="1" applyFont="1">
      <alignment readingOrder="0"/>
    </xf>
    <xf borderId="0" fillId="3" fontId="1" numFmtId="165" xfId="0" applyAlignment="1" applyFill="1" applyFont="1" applyNumberFormat="1">
      <alignment horizontal="center" readingOrder="0"/>
    </xf>
    <xf borderId="0" fillId="3" fontId="1" numFmtId="0" xfId="0" applyAlignment="1" applyFill="1" applyFont="1">
      <alignment readingOrder="0"/>
    </xf>
    <xf borderId="1" fillId="0" fontId="8" numFmtId="171" xfId="0" applyAlignment="1" applyBorder="1" applyFont="1" applyNumberFormat="1">
      <alignment horizontal="right" shrinkToFit="0" vertical="center" wrapText="1"/>
    </xf>
    <xf borderId="1" fillId="12" fontId="8" numFmtId="0" xfId="0" applyAlignment="1" applyBorder="1" applyFill="1" applyFont="1">
      <alignment readingOrder="0" shrinkToFit="0" vertical="center" wrapText="1"/>
    </xf>
    <xf borderId="1" fillId="12" fontId="8" numFmtId="171" xfId="0" applyAlignment="1" applyBorder="1" applyFill="1" applyFont="1" applyNumberFormat="1">
      <alignment readingOrder="0" shrinkToFit="0" vertical="center" wrapText="1"/>
    </xf>
    <xf borderId="1" fillId="12" fontId="8" numFmtId="0" xfId="0" applyAlignment="1" applyBorder="1" applyFill="1" applyFont="1">
      <alignment readingOrder="0" vertical="center"/>
    </xf>
    <xf borderId="1" fillId="3" fontId="8" numFmtId="165" xfId="0" applyAlignment="1" applyBorder="1" applyFill="1" applyFont="1" applyNumberFormat="1">
      <alignment readingOrder="0" vertical="center"/>
    </xf>
    <xf borderId="1" fillId="3" fontId="8" numFmtId="0" xfId="0" applyAlignment="1" applyBorder="1" applyFill="1" applyFont="1">
      <alignment readingOrder="0" shrinkToFit="0" vertical="center" wrapText="1"/>
    </xf>
    <xf borderId="1" fillId="3" fontId="12" numFmtId="165" xfId="0" applyAlignment="1" applyBorder="1" applyFill="1" applyFont="1" applyNumberFormat="1">
      <alignment horizontal="center" readingOrder="0" shrinkToFit="0" vertical="center" wrapText="1"/>
    </xf>
    <xf borderId="1" fillId="0" fontId="8" numFmtId="0" xfId="0" applyAlignment="1" applyBorder="1" applyFont="1">
      <alignment horizontal="center"/>
    </xf>
    <xf borderId="1" fillId="3" fontId="8" numFmtId="171" xfId="0" applyAlignment="1" applyBorder="1" applyFill="1" applyFont="1" applyNumberFormat="1">
      <alignment readingOrder="0" shrinkToFit="0" vertical="center" wrapText="1"/>
    </xf>
    <xf borderId="1" fillId="0" fontId="8" numFmtId="165" xfId="0" applyAlignment="1" applyBorder="1" applyFont="1" applyNumberFormat="1">
      <alignment horizontal="center" readingOrder="0" shrinkToFit="0" wrapText="1"/>
    </xf>
    <xf borderId="2" fillId="3" fontId="2" numFmtId="0" xfId="0" applyAlignment="1" applyBorder="1" applyFill="1" applyFont="1">
      <alignment horizontal="center" readingOrder="0" vertical="bottom"/>
    </xf>
    <xf borderId="5" fillId="3" fontId="1" numFmtId="164" xfId="0" applyAlignment="1" applyBorder="1" applyFill="1" applyFont="1" applyNumberFormat="1">
      <alignment horizontal="center" readingOrder="0" shrinkToFit="0" vertical="center" wrapText="1"/>
    </xf>
    <xf borderId="0" fillId="0" fontId="5" numFmtId="165" xfId="0" applyAlignment="1" applyFont="1" applyNumberFormat="1">
      <alignment vertical="center"/>
    </xf>
    <xf borderId="2" fillId="2" fontId="2" numFmtId="0" xfId="0" applyAlignment="1" applyBorder="1" applyFill="1" applyFont="1">
      <alignment horizontal="center" readingOrder="0" vertical="bottom"/>
    </xf>
    <xf borderId="1" fillId="3" fontId="12" numFmtId="165" xfId="0" applyAlignment="1" applyBorder="1" applyFill="1" applyFont="1" applyNumberFormat="1">
      <alignment horizontal="center" readingOrder="0" shrinkToFit="0" wrapText="1"/>
    </xf>
    <xf borderId="0" fillId="2" fontId="4" numFmtId="0" xfId="0" applyAlignment="1" applyFill="1" applyFont="1">
      <alignment horizontal="center" readingOrder="0" vertical="bottom"/>
    </xf>
    <xf borderId="1" fillId="0" fontId="8" numFmtId="169" xfId="0" applyAlignment="1" applyBorder="1" applyFont="1" applyNumberFormat="1">
      <alignment horizontal="center" readingOrder="0" shrinkToFit="0" vertical="center" wrapText="1"/>
    </xf>
    <xf borderId="1" fillId="0" fontId="8" numFmtId="0" xfId="0" applyAlignment="1" applyBorder="1" applyFont="1">
      <alignment horizontal="center" shrinkToFit="0" vertical="center" wrapText="1"/>
    </xf>
    <xf borderId="1" fillId="0" fontId="8" numFmtId="165" xfId="0" applyAlignment="1" applyBorder="1" applyFont="1" applyNumberFormat="1">
      <alignment horizontal="center" shrinkToFit="0" vertical="center" wrapText="1"/>
    </xf>
    <xf borderId="1" fillId="0" fontId="1" numFmtId="0" xfId="0" applyAlignment="1" applyBorder="1" applyFont="1">
      <alignment horizontal="center" shrinkToFit="0" vertical="center" wrapText="1"/>
    </xf>
    <xf borderId="5" fillId="2" fontId="2" numFmtId="0" xfId="0" applyAlignment="1" applyBorder="1" applyFill="1" applyFont="1">
      <alignment horizontal="center" readingOrder="0" shrinkToFit="0" wrapText="1"/>
    </xf>
    <xf borderId="1" fillId="2" fontId="2" numFmtId="0" xfId="0" applyAlignment="1" applyBorder="1" applyFill="1" applyFont="1">
      <alignment horizontal="center" shrinkToFit="0" wrapText="1"/>
    </xf>
    <xf borderId="1" fillId="0" fontId="1" numFmtId="165" xfId="0" applyAlignment="1" applyBorder="1" applyFont="1" applyNumberFormat="1">
      <alignment horizontal="center" readingOrder="0"/>
    </xf>
    <xf borderId="1" fillId="3" fontId="8" numFmtId="173" xfId="0" applyAlignment="1" applyBorder="1" applyFill="1" applyFont="1" applyNumberFormat="1">
      <alignment readingOrder="0" shrinkToFit="0" vertical="center" wrapText="1"/>
    </xf>
    <xf borderId="1" fillId="10" fontId="1" numFmtId="0" xfId="0" applyAlignment="1" applyBorder="1" applyFill="1" applyFont="1">
      <alignment horizontal="center" vertical="center"/>
    </xf>
    <xf borderId="1" fillId="3" fontId="8" numFmtId="0" xfId="0" applyAlignment="1" applyBorder="1" applyFill="1" applyFont="1">
      <alignment shrinkToFit="0" vertical="center" wrapText="1"/>
    </xf>
    <xf borderId="1" fillId="3" fontId="8" numFmtId="0" xfId="0" applyAlignment="1" applyBorder="1" applyFill="1" applyFont="1">
      <alignment vertical="center"/>
    </xf>
    <xf borderId="1" fillId="3" fontId="8" numFmtId="165" xfId="0" applyAlignment="1" applyBorder="1" applyFill="1" applyFont="1" applyNumberFormat="1">
      <alignment horizontal="right" vertical="center"/>
    </xf>
    <xf borderId="1" fillId="3" fontId="1" numFmtId="164" xfId="0" applyAlignment="1" applyBorder="1" applyFill="1" applyFont="1" applyNumberFormat="1">
      <alignment horizontal="center" readingOrder="0"/>
    </xf>
    <xf borderId="1" fillId="0" fontId="1" numFmtId="164" xfId="0" applyAlignment="1" applyBorder="1" applyFont="1" applyNumberFormat="1">
      <alignment horizontal="right" readingOrder="0"/>
    </xf>
    <xf borderId="1" fillId="16" fontId="1" numFmtId="0" xfId="0" applyAlignment="1" applyBorder="1" applyFill="1" applyFont="1">
      <alignment horizontal="center" vertical="center"/>
    </xf>
    <xf borderId="1" fillId="0" fontId="8" numFmtId="164" xfId="0" applyAlignment="1" applyBorder="1" applyFont="1" applyNumberFormat="1">
      <alignment horizontal="center" readingOrder="0" vertical="center"/>
    </xf>
    <xf borderId="1" fillId="0" fontId="8" numFmtId="173" xfId="0" applyAlignment="1" applyBorder="1" applyFont="1" applyNumberFormat="1">
      <alignment readingOrder="0" shrinkToFit="0" vertical="center" wrapText="1"/>
    </xf>
    <xf borderId="1" fillId="7" fontId="8" numFmtId="165" xfId="0" applyAlignment="1" applyBorder="1" applyFill="1" applyFont="1" applyNumberFormat="1">
      <alignment horizontal="center" readingOrder="0" vertical="center"/>
    </xf>
    <xf borderId="1" fillId="0" fontId="8" numFmtId="0" xfId="0" applyAlignment="1" applyBorder="1" applyFont="1">
      <alignment vertical="center"/>
    </xf>
    <xf borderId="1" fillId="0" fontId="8" numFmtId="165" xfId="0" applyAlignment="1" applyBorder="1" applyFont="1" applyNumberFormat="1">
      <alignment horizontal="right" vertical="center"/>
    </xf>
    <xf borderId="0" fillId="0" fontId="1" numFmtId="164" xfId="0" applyAlignment="1" applyFont="1" applyNumberFormat="1">
      <alignment readingOrder="0" vertical="center"/>
    </xf>
    <xf borderId="1" fillId="3" fontId="1" numFmtId="164" xfId="0" applyAlignment="1" applyBorder="1" applyFill="1" applyFont="1" applyNumberFormat="1">
      <alignment horizontal="center" readingOrder="0" shrinkToFit="0" vertical="center" wrapText="1"/>
    </xf>
    <xf borderId="1" fillId="10" fontId="1" numFmtId="0" xfId="0" applyAlignment="1" applyBorder="1" applyFill="1" applyFont="1">
      <alignment vertical="center"/>
    </xf>
    <xf borderId="1" fillId="3" fontId="1" numFmtId="164" xfId="0" applyAlignment="1" applyBorder="1" applyFill="1" applyFont="1" applyNumberFormat="1">
      <alignment readingOrder="0" vertical="center"/>
    </xf>
    <xf borderId="1" fillId="0" fontId="5" numFmtId="165" xfId="0" applyBorder="1" applyFont="1" applyNumberFormat="1"/>
    <xf borderId="1" fillId="7" fontId="1" numFmtId="165" xfId="0" applyAlignment="1" applyBorder="1" applyFill="1" applyFont="1" applyNumberFormat="1">
      <alignment readingOrder="0" vertical="center"/>
    </xf>
    <xf borderId="1" fillId="12" fontId="8" numFmtId="0" xfId="0" applyAlignment="1" applyBorder="1" applyFill="1" applyFont="1">
      <alignment horizontal="center" readingOrder="0" shrinkToFit="0" vertical="center" wrapText="1"/>
    </xf>
    <xf borderId="1" fillId="3" fontId="5" numFmtId="0" xfId="0" applyAlignment="1" applyBorder="1" applyFill="1" applyFont="1">
      <alignment horizontal="center" readingOrder="0"/>
    </xf>
    <xf borderId="1" fillId="6" fontId="1" numFmtId="164" xfId="0" applyAlignment="1" applyBorder="1" applyFill="1" applyFont="1" applyNumberFormat="1">
      <alignment horizontal="center" readingOrder="0"/>
    </xf>
    <xf borderId="1" fillId="12" fontId="8" numFmtId="0" xfId="0" applyAlignment="1" applyBorder="1" applyFill="1" applyFont="1">
      <alignment horizontal="center" shrinkToFit="0" vertical="center" wrapText="1"/>
    </xf>
    <xf borderId="0" fillId="5" fontId="1" numFmtId="0" xfId="0" applyFill="1" applyFont="1"/>
    <xf borderId="1" fillId="12" fontId="8" numFmtId="171" xfId="0" applyAlignment="1" applyBorder="1" applyFill="1" applyFont="1" applyNumberFormat="1">
      <alignment horizontal="center" readingOrder="0" shrinkToFit="0" vertical="center" wrapText="1"/>
    </xf>
    <xf borderId="1" fillId="6" fontId="1" numFmtId="165" xfId="0" applyAlignment="1" applyBorder="1" applyFill="1" applyFont="1" applyNumberFormat="1">
      <alignment horizontal="center" readingOrder="0"/>
    </xf>
    <xf borderId="1" fillId="3" fontId="5" numFmtId="165" xfId="0" applyAlignment="1" applyBorder="1" applyFill="1" applyFont="1" applyNumberFormat="1">
      <alignment readingOrder="0" vertical="center"/>
    </xf>
    <xf borderId="1" fillId="12" fontId="8" numFmtId="0" xfId="0" applyAlignment="1" applyBorder="1" applyFill="1" applyFont="1">
      <alignment horizontal="center" readingOrder="0" vertical="center"/>
    </xf>
    <xf borderId="1" fillId="3" fontId="5" numFmtId="0" xfId="0" applyAlignment="1" applyBorder="1" applyFill="1" applyFont="1">
      <alignment horizontal="center" readingOrder="0" shrinkToFit="0" vertical="center" wrapText="1"/>
    </xf>
    <xf borderId="1" fillId="12" fontId="8" numFmtId="0" xfId="0" applyAlignment="1" applyBorder="1" applyFill="1" applyFont="1">
      <alignment horizontal="left" readingOrder="0" shrinkToFit="0" vertical="center" wrapText="1"/>
    </xf>
    <xf borderId="1" fillId="10" fontId="1" numFmtId="0" xfId="0" applyAlignment="1" applyBorder="1" applyFill="1" applyFont="1">
      <alignment horizontal="center"/>
    </xf>
    <xf borderId="0" fillId="3" fontId="5" numFmtId="165" xfId="0" applyAlignment="1" applyFill="1" applyFont="1" applyNumberFormat="1">
      <alignment readingOrder="0"/>
    </xf>
    <xf borderId="1" fillId="0" fontId="8" numFmtId="0" xfId="0" applyAlignment="1" applyBorder="1" applyFont="1">
      <alignment shrinkToFit="0" vertical="center" wrapText="1"/>
    </xf>
    <xf borderId="1" fillId="0" fontId="8" numFmtId="0" xfId="0" applyAlignment="1" applyBorder="1" applyFont="1">
      <alignment horizontal="center" vertical="center"/>
    </xf>
    <xf borderId="1" fillId="0" fontId="8" numFmtId="165" xfId="0" applyAlignment="1" applyBorder="1" applyFont="1" applyNumberFormat="1">
      <alignment vertical="center"/>
    </xf>
    <xf borderId="1" fillId="0" fontId="8" numFmtId="165" xfId="0" applyAlignment="1" applyBorder="1" applyFont="1" applyNumberFormat="1">
      <alignment horizontal="center"/>
    </xf>
    <xf borderId="1" fillId="0" fontId="1" numFmtId="0" xfId="0" applyAlignment="1" applyBorder="1" applyFont="1">
      <alignment readingOrder="0" vertical="center"/>
    </xf>
    <xf borderId="0" fillId="17" fontId="8" numFmtId="0" xfId="0" applyAlignment="1" applyFill="1" applyFont="1">
      <alignment readingOrder="0" vertical="center"/>
    </xf>
    <xf borderId="5" fillId="5" fontId="2" numFmtId="0" xfId="0" applyAlignment="1" applyBorder="1" applyFill="1" applyFont="1">
      <alignment horizontal="center" shrinkToFit="0" vertical="center" wrapText="1"/>
    </xf>
    <xf borderId="1" fillId="3" fontId="8" numFmtId="0" xfId="0" applyAlignment="1" applyBorder="1" applyFill="1" applyFont="1">
      <alignment horizontal="center" readingOrder="0" shrinkToFit="0" vertical="center" wrapText="1"/>
    </xf>
    <xf borderId="1" fillId="0" fontId="1" numFmtId="168" xfId="0" applyAlignment="1" applyBorder="1" applyFont="1" applyNumberFormat="1">
      <alignment horizontal="center" readingOrder="0"/>
    </xf>
    <xf borderId="1" fillId="3" fontId="8" numFmtId="171" xfId="0" applyAlignment="1" applyBorder="1" applyFill="1" applyFont="1" applyNumberFormat="1">
      <alignment horizontal="center" readingOrder="0" shrinkToFit="0" vertical="center" wrapText="1"/>
    </xf>
    <xf borderId="1" fillId="3" fontId="8" numFmtId="0" xfId="0" applyAlignment="1" applyBorder="1" applyFill="1" applyFont="1">
      <alignment horizontal="left" readingOrder="0" shrinkToFit="0" vertical="center" wrapText="1"/>
    </xf>
    <xf borderId="1" fillId="3" fontId="8" numFmtId="0" xfId="0" applyAlignment="1" applyBorder="1" applyFill="1" applyFont="1">
      <alignment readingOrder="0" shrinkToFit="0" vertical="center" wrapText="0"/>
    </xf>
    <xf borderId="1" fillId="3" fontId="16" numFmtId="164" xfId="0" applyAlignment="1" applyBorder="1" applyFill="1" applyFont="1" applyNumberFormat="1">
      <alignment horizontal="center" readingOrder="0" shrinkToFit="0" vertical="center" wrapText="1"/>
    </xf>
    <xf borderId="1" fillId="3" fontId="16" numFmtId="0" xfId="0" applyAlignment="1" applyBorder="1" applyFill="1" applyFont="1">
      <alignment horizontal="center" readingOrder="0"/>
    </xf>
    <xf borderId="1" fillId="3" fontId="16" numFmtId="0" xfId="0" applyAlignment="1" applyBorder="1" applyFill="1" applyFont="1">
      <alignment horizontal="center" shrinkToFit="0" vertical="center" wrapText="1"/>
    </xf>
    <xf borderId="1" fillId="3" fontId="16" numFmtId="165" xfId="0" applyAlignment="1" applyBorder="1" applyFill="1" applyFont="1" applyNumberFormat="1">
      <alignment horizontal="center" readingOrder="0" vertical="center"/>
    </xf>
    <xf borderId="1" fillId="3" fontId="16" numFmtId="0" xfId="0" applyAlignment="1" applyBorder="1" applyFill="1" applyFont="1">
      <alignment horizontal="center" readingOrder="0" vertical="center"/>
    </xf>
    <xf borderId="1" fillId="7" fontId="1" numFmtId="167" xfId="0" applyAlignment="1" applyBorder="1" applyFill="1" applyFont="1" applyNumberFormat="1">
      <alignment horizontal="center" readingOrder="0" vertical="center"/>
    </xf>
    <xf borderId="1" fillId="6" fontId="1" numFmtId="164" xfId="0" applyAlignment="1" applyBorder="1" applyFill="1" applyFont="1" applyNumberFormat="1">
      <alignment horizontal="center" readingOrder="0" shrinkToFit="0" vertical="center" wrapText="1"/>
    </xf>
    <xf borderId="1" fillId="3" fontId="5" numFmtId="0" xfId="0" applyAlignment="1" applyBorder="1" applyFill="1" applyFont="1">
      <alignment readingOrder="0" vertical="center"/>
    </xf>
    <xf borderId="0" fillId="3" fontId="1" numFmtId="164" xfId="0" applyAlignment="1" applyFill="1" applyFont="1" applyNumberFormat="1">
      <alignment horizontal="center" readingOrder="0" vertical="center"/>
    </xf>
    <xf borderId="1" fillId="3" fontId="8" numFmtId="0" xfId="0" applyAlignment="1" applyBorder="1" applyFill="1" applyFont="1">
      <alignment shrinkToFit="0" vertical="center" wrapText="1"/>
    </xf>
    <xf borderId="1" fillId="3" fontId="8" numFmtId="165" xfId="0" applyAlignment="1" applyBorder="1" applyFill="1" applyFont="1" applyNumberFormat="1">
      <alignment horizontal="center" vertical="center"/>
    </xf>
    <xf borderId="1" fillId="0" fontId="8" numFmtId="165" xfId="0" applyAlignment="1" applyBorder="1" applyFont="1" applyNumberFormat="1">
      <alignment horizontal="center" vertical="center"/>
    </xf>
    <xf borderId="0" fillId="0" fontId="1" numFmtId="0" xfId="0" applyFont="1"/>
    <xf borderId="2" fillId="14" fontId="2" numFmtId="0" xfId="0" applyAlignment="1" applyBorder="1" applyFill="1" applyFont="1">
      <alignment horizontal="center" shrinkToFit="0" vertical="bottom" wrapText="1"/>
    </xf>
    <xf borderId="0" fillId="12" fontId="1" numFmtId="165" xfId="0" applyAlignment="1" applyFill="1" applyFont="1" applyNumberFormat="1">
      <alignment readingOrder="0" vertical="center"/>
    </xf>
    <xf borderId="0" fillId="3" fontId="1" numFmtId="0" xfId="0" applyAlignment="1" applyFill="1" applyFont="1">
      <alignment readingOrder="0" vertical="center"/>
    </xf>
    <xf borderId="0" fillId="3" fontId="2" numFmtId="0" xfId="0" applyAlignment="1" applyFill="1" applyFont="1">
      <alignment horizontal="center" shrinkToFit="0" vertical="bottom" wrapText="1"/>
    </xf>
    <xf borderId="1" fillId="3" fontId="2" numFmtId="0" xfId="0" applyAlignment="1" applyBorder="1" applyFill="1" applyFont="1">
      <alignment horizontal="center" readingOrder="0" shrinkToFit="0" vertical="center" wrapText="1"/>
    </xf>
    <xf borderId="5" fillId="0" fontId="1" numFmtId="164" xfId="0" applyAlignment="1" applyBorder="1" applyFont="1" applyNumberFormat="1">
      <alignment readingOrder="0" vertical="center"/>
    </xf>
    <xf borderId="1" fillId="3" fontId="2" numFmtId="0" xfId="0" applyAlignment="1" applyBorder="1" applyFill="1" applyFont="1">
      <alignment horizontal="center" shrinkToFit="0" vertical="center" wrapText="1"/>
    </xf>
    <xf borderId="0" fillId="0" fontId="5" numFmtId="165" xfId="0" applyAlignment="1" applyFont="1" applyNumberFormat="1">
      <alignment readingOrder="0"/>
    </xf>
    <xf borderId="0" fillId="17" fontId="1" numFmtId="0" xfId="0" applyAlignment="1" applyFill="1" applyFont="1">
      <alignment readingOrder="0" vertical="center"/>
    </xf>
    <xf borderId="1" fillId="3" fontId="2" numFmtId="0" xfId="0" applyAlignment="1" applyBorder="1" applyFill="1" applyFont="1">
      <alignment horizontal="center" shrinkToFit="0" vertical="center" wrapText="1"/>
    </xf>
    <xf borderId="1" fillId="3" fontId="2" numFmtId="165" xfId="0" applyAlignment="1" applyBorder="1" applyFill="1" applyFont="1" applyNumberFormat="1">
      <alignment horizontal="center" shrinkToFit="0" vertical="center" wrapText="1"/>
    </xf>
    <xf borderId="1" fillId="0" fontId="2" numFmtId="0" xfId="0" applyAlignment="1" applyBorder="1" applyFont="1">
      <alignment horizontal="center" shrinkToFit="0" vertical="center" wrapText="1"/>
    </xf>
    <xf borderId="1" fillId="18" fontId="1" numFmtId="164" xfId="0" applyAlignment="1" applyBorder="1" applyFill="1" applyFont="1" applyNumberFormat="1">
      <alignment readingOrder="0"/>
    </xf>
    <xf borderId="1" fillId="3" fontId="1" numFmtId="0" xfId="0" applyAlignment="1" applyBorder="1" applyFill="1" applyFont="1">
      <alignment readingOrder="0"/>
    </xf>
    <xf borderId="0" fillId="0" fontId="4" numFmtId="0" xfId="0" applyAlignment="1" applyFont="1">
      <alignment horizontal="center" readingOrder="0" vertical="center"/>
    </xf>
    <xf borderId="1" fillId="0" fontId="16" numFmtId="0" xfId="0" applyAlignment="1" applyBorder="1" applyFont="1">
      <alignment horizontal="center" readingOrder="0"/>
    </xf>
    <xf borderId="1" fillId="0" fontId="16" numFmtId="0" xfId="0" applyAlignment="1" applyBorder="1" applyFont="1">
      <alignment horizontal="center" shrinkToFit="0" vertical="center" wrapText="1"/>
    </xf>
    <xf borderId="1" fillId="0" fontId="16" numFmtId="165" xfId="0" applyAlignment="1" applyBorder="1" applyFont="1" applyNumberFormat="1">
      <alignment horizontal="center" readingOrder="0" vertical="center"/>
    </xf>
    <xf borderId="1" fillId="3" fontId="17" numFmtId="0" xfId="0" applyAlignment="1" applyBorder="1" applyFill="1" applyFont="1">
      <alignment horizontal="center" readingOrder="0"/>
    </xf>
    <xf borderId="1" fillId="0" fontId="1" numFmtId="167" xfId="0" applyAlignment="1" applyBorder="1" applyFont="1" applyNumberFormat="1">
      <alignment horizontal="center" readingOrder="0"/>
    </xf>
    <xf borderId="1" fillId="0" fontId="16" numFmtId="0" xfId="0" applyAlignment="1" applyBorder="1" applyFont="1">
      <alignment horizontal="center" readingOrder="0" vertical="center"/>
    </xf>
    <xf borderId="1" fillId="6" fontId="16" numFmtId="164" xfId="0" applyAlignment="1" applyBorder="1" applyFill="1" applyFont="1" applyNumberFormat="1">
      <alignment horizontal="center" readingOrder="0" shrinkToFit="0" vertical="center" wrapText="1"/>
    </xf>
    <xf borderId="1" fillId="0" fontId="1" numFmtId="167" xfId="0" applyAlignment="1" applyBorder="1" applyFont="1" applyNumberFormat="1">
      <alignment horizontal="center" readingOrder="0" vertical="center"/>
    </xf>
    <xf borderId="1" fillId="6" fontId="16" numFmtId="0" xfId="0" applyAlignment="1" applyBorder="1" applyFill="1" applyFont="1">
      <alignment horizontal="center" readingOrder="0" vertical="center"/>
    </xf>
    <xf borderId="5" fillId="6" fontId="1" numFmtId="0" xfId="0" applyAlignment="1" applyBorder="1" applyFill="1" applyFont="1">
      <alignment horizontal="center" readingOrder="0" shrinkToFit="0" vertical="center" wrapText="1"/>
    </xf>
    <xf borderId="1" fillId="0" fontId="8" numFmtId="0" xfId="0" applyAlignment="1" applyBorder="1" applyFont="1">
      <alignment vertical="bottom"/>
    </xf>
    <xf borderId="1" fillId="0" fontId="8" numFmtId="0" xfId="0" applyAlignment="1" applyBorder="1" applyFont="1">
      <alignment shrinkToFit="0" vertical="bottom" wrapText="1"/>
    </xf>
    <xf borderId="1" fillId="3" fontId="18" numFmtId="0" xfId="0" applyAlignment="1" applyBorder="1" applyFill="1" applyFont="1">
      <alignment horizontal="center" readingOrder="0" vertical="center"/>
    </xf>
    <xf borderId="1" fillId="3" fontId="1" numFmtId="167" xfId="0" applyAlignment="1" applyBorder="1" applyFill="1" applyFont="1" applyNumberFormat="1">
      <alignment readingOrder="0" shrinkToFit="0" vertical="center" wrapText="1"/>
    </xf>
    <xf borderId="0" fillId="0" fontId="1" numFmtId="0" xfId="0" applyAlignment="1" applyFont="1">
      <alignment shrinkToFit="0" wrapText="1"/>
    </xf>
    <xf borderId="0" fillId="3" fontId="1" numFmtId="0" xfId="0" applyAlignment="1" applyFill="1" applyFont="1">
      <alignment shrinkToFit="0" wrapText="1"/>
    </xf>
    <xf borderId="8" fillId="6" fontId="19" numFmtId="0" xfId="0" applyAlignment="1" applyBorder="1" applyFill="1" applyFont="1">
      <alignment horizontal="center" readingOrder="0"/>
    </xf>
    <xf borderId="0" fillId="0" fontId="1" numFmtId="0" xfId="0" applyAlignment="1" applyFont="1">
      <alignment readingOrder="0" shrinkToFit="0" wrapText="1"/>
    </xf>
    <xf borderId="0" fillId="19" fontId="1" numFmtId="0" xfId="0" applyAlignment="1" applyFill="1" applyFont="1">
      <alignment horizontal="center" readingOrder="0" shrinkToFit="0" vertical="center" wrapText="1"/>
    </xf>
    <xf borderId="0" fillId="19" fontId="1" numFmtId="165" xfId="0" applyAlignment="1" applyFill="1" applyFont="1" applyNumberFormat="1">
      <alignment horizontal="center" readingOrder="0" vertical="center"/>
    </xf>
    <xf borderId="1" fillId="3" fontId="20" numFmtId="0" xfId="0" applyAlignment="1" applyBorder="1" applyFill="1" applyFont="1">
      <alignment readingOrder="0" vertical="center"/>
    </xf>
    <xf borderId="1" fillId="18" fontId="1" numFmtId="164" xfId="0" applyAlignment="1" applyBorder="1" applyFill="1" applyFont="1" applyNumberFormat="1">
      <alignment readingOrder="0" shrinkToFit="0" vertical="center" wrapText="1"/>
    </xf>
    <xf borderId="5" fillId="18" fontId="1" numFmtId="164" xfId="0" applyAlignment="1" applyBorder="1" applyFill="1" applyFont="1" applyNumberFormat="1">
      <alignment readingOrder="0" shrinkToFit="0" vertical="center" wrapText="1"/>
    </xf>
    <xf borderId="5" fillId="3" fontId="1" numFmtId="0" xfId="0" applyAlignment="1" applyBorder="1" applyFill="1" applyFont="1">
      <alignment readingOrder="0" shrinkToFit="0" vertical="center" wrapText="1"/>
    </xf>
    <xf borderId="5" fillId="3" fontId="1" numFmtId="167" xfId="0" applyAlignment="1" applyBorder="1" applyFill="1" applyFont="1" applyNumberFormat="1">
      <alignment readingOrder="0" shrinkToFit="0" vertical="center" wrapText="1"/>
    </xf>
    <xf borderId="1" fillId="10" fontId="1" numFmtId="167" xfId="0" applyAlignment="1" applyBorder="1" applyFill="1" applyFont="1" applyNumberFormat="1">
      <alignment horizontal="center" readingOrder="0"/>
    </xf>
    <xf borderId="1" fillId="20" fontId="1" numFmtId="164" xfId="0" applyAlignment="1" applyBorder="1" applyFill="1" applyFont="1" applyNumberFormat="1">
      <alignment readingOrder="0"/>
    </xf>
    <xf borderId="2" fillId="3" fontId="1" numFmtId="0" xfId="0" applyAlignment="1" applyBorder="1" applyFill="1" applyFont="1">
      <alignment horizontal="center" readingOrder="0"/>
    </xf>
    <xf borderId="1" fillId="7" fontId="1" numFmtId="165" xfId="0" applyAlignment="1" applyBorder="1" applyFill="1" applyFont="1" applyNumberFormat="1">
      <alignment horizontal="center" readingOrder="0"/>
    </xf>
    <xf borderId="1" fillId="3" fontId="21" numFmtId="0" xfId="0" applyAlignment="1" applyBorder="1" applyFill="1" applyFont="1">
      <alignment readingOrder="0"/>
    </xf>
    <xf borderId="0" fillId="0" fontId="1" numFmtId="164" xfId="0" applyAlignment="1" applyFont="1" applyNumberFormat="1">
      <alignment horizontal="center" readingOrder="0"/>
    </xf>
    <xf borderId="0" fillId="0" fontId="1" numFmtId="167" xfId="0" applyAlignment="1" applyFont="1" applyNumberFormat="1">
      <alignment horizontal="center" readingOrder="0"/>
    </xf>
    <xf borderId="0" fillId="0" fontId="22" numFmtId="0" xfId="0" applyAlignment="1" applyFont="1">
      <alignment readingOrder="0"/>
    </xf>
    <xf borderId="1" fillId="21" fontId="1" numFmtId="164" xfId="0" applyAlignment="1" applyBorder="1" applyFill="1" applyFont="1" applyNumberFormat="1">
      <alignment horizontal="center" readingOrder="0"/>
    </xf>
    <xf borderId="1" fillId="21" fontId="16" numFmtId="0" xfId="0" applyAlignment="1" applyBorder="1" applyFill="1" applyFont="1">
      <alignment horizontal="center" readingOrder="0"/>
    </xf>
    <xf borderId="1" fillId="21" fontId="1" numFmtId="165" xfId="0" applyAlignment="1" applyBorder="1" applyFill="1" applyFont="1" applyNumberFormat="1">
      <alignment horizontal="center" readingOrder="0"/>
    </xf>
    <xf borderId="1" fillId="21" fontId="1" numFmtId="0" xfId="0" applyAlignment="1" applyBorder="1" applyFill="1" applyFont="1">
      <alignment horizontal="center" readingOrder="0"/>
    </xf>
    <xf borderId="1" fillId="0" fontId="8" numFmtId="0" xfId="0" applyAlignment="1" applyBorder="1" applyFont="1">
      <alignment horizontal="right" vertical="bottom"/>
    </xf>
    <xf borderId="1" fillId="7" fontId="1" numFmtId="165" xfId="0" applyAlignment="1" applyBorder="1" applyFill="1" applyFont="1" applyNumberFormat="1">
      <alignment horizontal="center"/>
    </xf>
    <xf borderId="0" fillId="3" fontId="1" numFmtId="165" xfId="0" applyAlignment="1" applyFill="1" applyFont="1" applyNumberFormat="1">
      <alignment readingOrder="0" vertical="center"/>
    </xf>
    <xf borderId="1" fillId="21" fontId="23" numFmtId="0" xfId="0" applyAlignment="1" applyBorder="1" applyFill="1" applyFont="1">
      <alignment horizontal="center" readingOrder="0"/>
    </xf>
    <xf borderId="0" fillId="3" fontId="1" numFmtId="165" xfId="0" applyAlignment="1" applyFill="1" applyFont="1" applyNumberFormat="1">
      <alignment vertical="center"/>
    </xf>
    <xf borderId="1" fillId="3" fontId="1" numFmtId="165" xfId="0" applyAlignment="1" applyBorder="1" applyFill="1" applyFont="1" applyNumberFormat="1">
      <alignment readingOrder="0" shrinkToFit="0" vertical="center" wrapText="1"/>
    </xf>
    <xf borderId="2" fillId="14" fontId="2" numFmtId="0" xfId="0" applyAlignment="1" applyBorder="1" applyFill="1" applyFont="1">
      <alignment horizontal="center" readingOrder="0" shrinkToFit="0" vertical="bottom" wrapText="1"/>
    </xf>
    <xf borderId="1" fillId="21" fontId="1" numFmtId="0" xfId="0" applyAlignment="1" applyBorder="1" applyFill="1" applyFont="1">
      <alignment horizontal="center"/>
    </xf>
    <xf borderId="1" fillId="21" fontId="1" numFmtId="166" xfId="0" applyAlignment="1" applyBorder="1" applyFill="1" applyFont="1" applyNumberFormat="1">
      <alignment horizontal="center" readingOrder="0" vertical="center"/>
    </xf>
    <xf borderId="0" fillId="21" fontId="1" numFmtId="0" xfId="0" applyAlignment="1" applyFill="1" applyFont="1">
      <alignment horizontal="center"/>
    </xf>
    <xf borderId="0" fillId="21" fontId="1" numFmtId="0" xfId="0" applyFill="1" applyFont="1"/>
    <xf borderId="1" fillId="6" fontId="16" numFmtId="0" xfId="0" applyAlignment="1" applyBorder="1" applyFill="1" applyFont="1">
      <alignment horizontal="center" readingOrder="0"/>
    </xf>
    <xf borderId="1" fillId="6" fontId="24" numFmtId="0" xfId="0" applyAlignment="1" applyBorder="1" applyFill="1" applyFont="1">
      <alignment horizontal="center" readingOrder="0"/>
    </xf>
    <xf borderId="0" fillId="3" fontId="1" numFmtId="0" xfId="0" applyAlignment="1" applyFill="1" applyFont="1">
      <alignment readingOrder="0" shrinkToFit="0" vertical="center" wrapText="1"/>
    </xf>
    <xf borderId="1" fillId="3" fontId="25" numFmtId="0" xfId="0" applyAlignment="1" applyBorder="1" applyFill="1" applyFont="1">
      <alignment horizontal="center" readingOrder="0" vertical="center"/>
    </xf>
    <xf borderId="0" fillId="3" fontId="1" numFmtId="0" xfId="0" applyAlignment="1" applyFill="1" applyFont="1">
      <alignment shrinkToFit="0" vertical="center" wrapText="1"/>
    </xf>
    <xf borderId="1" fillId="6" fontId="1" numFmtId="0" xfId="0" applyAlignment="1" applyBorder="1" applyFill="1" applyFont="1">
      <alignment horizontal="center"/>
    </xf>
    <xf borderId="5" fillId="6" fontId="1" numFmtId="166" xfId="0" applyAlignment="1" applyBorder="1" applyFill="1" applyFont="1" applyNumberFormat="1">
      <alignment horizontal="center" readingOrder="0" vertical="center"/>
    </xf>
    <xf borderId="0" fillId="6" fontId="1" numFmtId="0" xfId="0" applyAlignment="1" applyFill="1" applyFont="1">
      <alignment horizontal="center"/>
    </xf>
    <xf borderId="1" fillId="3" fontId="1" numFmtId="165" xfId="0" applyAlignment="1" applyBorder="1" applyFill="1" applyFont="1" applyNumberFormat="1">
      <alignment horizontal="center" vertical="center"/>
    </xf>
    <xf borderId="0" fillId="6" fontId="1" numFmtId="0" xfId="0" applyFill="1" applyFont="1"/>
    <xf borderId="0" fillId="3" fontId="11" numFmtId="165" xfId="0" applyAlignment="1" applyFill="1" applyFont="1" applyNumberFormat="1">
      <alignment vertical="center"/>
    </xf>
    <xf borderId="1" fillId="3" fontId="5" numFmtId="164" xfId="0" applyAlignment="1" applyBorder="1" applyFill="1" applyFont="1" applyNumberFormat="1">
      <alignment horizontal="center" readingOrder="0" shrinkToFit="0" vertical="center" wrapText="1"/>
    </xf>
    <xf borderId="1" fillId="3" fontId="26" numFmtId="0" xfId="0" applyAlignment="1" applyBorder="1" applyFill="1" applyFont="1">
      <alignment horizontal="center" readingOrder="0"/>
    </xf>
    <xf borderId="1" fillId="3" fontId="1" numFmtId="0" xfId="0" applyAlignment="1" applyBorder="1" applyFill="1" applyFont="1">
      <alignment horizontal="center" readingOrder="0" shrinkToFit="0" wrapText="1"/>
    </xf>
    <xf borderId="1" fillId="3" fontId="1" numFmtId="166" xfId="0" applyAlignment="1" applyBorder="1" applyFill="1" applyFont="1" applyNumberFormat="1">
      <alignment horizontal="center" readingOrder="0"/>
    </xf>
    <xf borderId="1" fillId="6" fontId="27" numFmtId="0" xfId="0" applyAlignment="1" applyBorder="1" applyFill="1" applyFont="1">
      <alignment readingOrder="0"/>
    </xf>
    <xf borderId="5" fillId="17" fontId="1" numFmtId="164" xfId="0" applyAlignment="1" applyBorder="1" applyFill="1" applyFont="1" applyNumberFormat="1">
      <alignment horizontal="left" readingOrder="0" shrinkToFit="0" vertical="center" wrapText="1"/>
    </xf>
    <xf borderId="1" fillId="6" fontId="16" numFmtId="0" xfId="0" applyAlignment="1" applyBorder="1" applyFill="1" applyFont="1">
      <alignment horizontal="center"/>
    </xf>
    <xf borderId="1" fillId="6" fontId="1" numFmtId="0" xfId="0" applyBorder="1" applyFill="1" applyFont="1"/>
    <xf borderId="1" fillId="3" fontId="8" numFmtId="173" xfId="0" applyAlignment="1" applyBorder="1" applyFill="1" applyFont="1" applyNumberFormat="1">
      <alignment horizontal="center" readingOrder="0" shrinkToFit="0" vertical="center" wrapText="1"/>
    </xf>
    <xf borderId="1" fillId="3" fontId="16" numFmtId="0" xfId="0" applyAlignment="1" applyBorder="1" applyFill="1" applyFont="1">
      <alignment horizontal="center"/>
    </xf>
    <xf borderId="1" fillId="3" fontId="1" numFmtId="164" xfId="0" applyAlignment="1" applyBorder="1" applyFill="1" applyFont="1" applyNumberFormat="1">
      <alignment horizontal="right" readingOrder="0" vertical="center"/>
    </xf>
    <xf borderId="1" fillId="0" fontId="28" numFmtId="0" xfId="0" applyAlignment="1" applyBorder="1" applyFont="1">
      <alignment readingOrder="0"/>
    </xf>
    <xf borderId="1" fillId="3" fontId="1" numFmtId="0" xfId="0" applyAlignment="1" applyBorder="1" applyFill="1" applyFont="1">
      <alignment vertical="center"/>
    </xf>
    <xf borderId="1" fillId="3" fontId="1" numFmtId="0" xfId="0" applyAlignment="1" applyBorder="1" applyFill="1" applyFont="1">
      <alignment horizontal="left" readingOrder="0" shrinkToFit="0" wrapText="1"/>
    </xf>
    <xf borderId="0" fillId="3" fontId="1" numFmtId="0" xfId="0" applyAlignment="1" applyFill="1" applyFont="1">
      <alignment readingOrder="0" shrinkToFit="0" wrapText="1"/>
    </xf>
    <xf borderId="1" fillId="3" fontId="8" numFmtId="174" xfId="0" applyAlignment="1" applyBorder="1" applyFill="1" applyFont="1" applyNumberFormat="1">
      <alignment horizontal="center" readingOrder="0" shrinkToFit="0" vertical="center" wrapText="1"/>
    </xf>
    <xf borderId="1" fillId="3" fontId="8" numFmtId="165" xfId="0" applyAlignment="1" applyBorder="1" applyFill="1" applyFont="1" applyNumberFormat="1">
      <alignment horizontal="center" shrinkToFit="0" vertical="center" wrapText="1"/>
    </xf>
    <xf borderId="1" fillId="0" fontId="1" numFmtId="166" xfId="0" applyAlignment="1" applyBorder="1" applyFont="1" applyNumberFormat="1">
      <alignment readingOrder="0" vertical="center"/>
    </xf>
    <xf borderId="1" fillId="22" fontId="1" numFmtId="164" xfId="0" applyAlignment="1" applyBorder="1" applyFill="1" applyFont="1" applyNumberFormat="1">
      <alignment horizontal="right" readingOrder="0" vertical="center"/>
    </xf>
    <xf borderId="1" fillId="0" fontId="29" numFmtId="0" xfId="0" applyAlignment="1" applyBorder="1" applyFont="1">
      <alignment horizontal="center" readingOrder="0" vertical="center"/>
    </xf>
    <xf borderId="1" fillId="3" fontId="1" numFmtId="0" xfId="0" applyAlignment="1" applyBorder="1" applyFill="1" applyFont="1">
      <alignment readingOrder="0" shrinkToFit="0" wrapText="1"/>
    </xf>
    <xf borderId="0" fillId="3" fontId="1" numFmtId="167" xfId="0" applyAlignment="1" applyFill="1" applyFont="1" applyNumberFormat="1">
      <alignment shrinkToFit="0" wrapText="1"/>
    </xf>
    <xf borderId="1" fillId="0" fontId="8" numFmtId="173" xfId="0" applyAlignment="1" applyBorder="1" applyFont="1" applyNumberFormat="1">
      <alignment horizontal="center" readingOrder="0" shrinkToFit="0" wrapText="1"/>
    </xf>
    <xf borderId="1" fillId="0" fontId="8" numFmtId="0" xfId="0" applyAlignment="1" applyBorder="1" applyFont="1">
      <alignment horizontal="center" shrinkToFit="0" wrapText="1"/>
    </xf>
    <xf borderId="1" fillId="0" fontId="1" numFmtId="165" xfId="0" applyAlignment="1" applyBorder="1" applyFont="1" applyNumberFormat="1">
      <alignment horizontal="center"/>
    </xf>
    <xf borderId="1" fillId="23" fontId="1" numFmtId="164" xfId="0" applyAlignment="1" applyBorder="1" applyFill="1" applyFont="1" applyNumberFormat="1">
      <alignment readingOrder="0" vertical="center"/>
    </xf>
    <xf borderId="1" fillId="23" fontId="1" numFmtId="0" xfId="0" applyAlignment="1" applyBorder="1" applyFill="1" applyFont="1">
      <alignment readingOrder="0" shrinkToFit="0" vertical="center" wrapText="1"/>
    </xf>
    <xf borderId="1" fillId="23" fontId="1" numFmtId="167" xfId="0" applyAlignment="1" applyBorder="1" applyFill="1" applyFont="1" applyNumberFormat="1">
      <alignment readingOrder="0" shrinkToFit="0" vertical="center" wrapText="1"/>
    </xf>
    <xf borderId="1" fillId="0" fontId="1" numFmtId="166" xfId="0" applyAlignment="1" applyBorder="1" applyFont="1" applyNumberFormat="1">
      <alignment readingOrder="0"/>
    </xf>
    <xf borderId="1" fillId="0" fontId="1" numFmtId="164" xfId="0" applyAlignment="1" applyBorder="1" applyFont="1" applyNumberFormat="1">
      <alignment horizontal="right" readingOrder="0" vertical="center"/>
    </xf>
    <xf borderId="1" fillId="0" fontId="1" numFmtId="0" xfId="0" applyAlignment="1" applyBorder="1" applyFont="1">
      <alignment readingOrder="0" shrinkToFit="0" vertical="center" wrapText="1"/>
    </xf>
    <xf borderId="1" fillId="0" fontId="1" numFmtId="167" xfId="0" applyAlignment="1" applyBorder="1" applyFont="1" applyNumberFormat="1">
      <alignment readingOrder="0" shrinkToFit="0" vertical="center" wrapText="1"/>
    </xf>
    <xf borderId="0" fillId="0" fontId="1" numFmtId="167" xfId="0" applyAlignment="1" applyFont="1" applyNumberFormat="1">
      <alignment shrinkToFit="0" wrapText="1"/>
    </xf>
    <xf borderId="1" fillId="23" fontId="1" numFmtId="164" xfId="0" applyAlignment="1" applyBorder="1" applyFill="1" applyFont="1" applyNumberFormat="1">
      <alignment horizontal="right" readingOrder="0" vertical="center"/>
    </xf>
    <xf borderId="0" fillId="0" fontId="1" numFmtId="165" xfId="0" applyAlignment="1" applyFont="1" applyNumberFormat="1">
      <alignment horizontal="center" readingOrder="0"/>
    </xf>
    <xf borderId="0" fillId="24" fontId="1" numFmtId="0" xfId="0" applyAlignment="1" applyFill="1" applyFont="1">
      <alignment shrinkToFit="0" wrapText="1"/>
    </xf>
    <xf borderId="0" fillId="24" fontId="1" numFmtId="165" xfId="0" applyAlignment="1" applyFill="1" applyFont="1" applyNumberFormat="1">
      <alignment horizontal="right" readingOrder="0" shrinkToFit="0" vertical="center" wrapText="1"/>
    </xf>
    <xf borderId="0" fillId="24" fontId="1" numFmtId="0" xfId="0" applyAlignment="1" applyFill="1" applyFont="1">
      <alignment readingOrder="0" shrinkToFit="0" vertical="center" wrapText="1"/>
    </xf>
    <xf borderId="1" fillId="3" fontId="2" numFmtId="0" xfId="0" applyAlignment="1" applyBorder="1" applyFill="1" applyFont="1">
      <alignment horizontal="center" shrinkToFit="0" wrapText="1"/>
    </xf>
    <xf borderId="1" fillId="0" fontId="30" numFmtId="0" xfId="0" applyAlignment="1" applyBorder="1" applyFont="1">
      <alignment horizontal="center" readingOrder="0"/>
    </xf>
    <xf borderId="1" fillId="3" fontId="2" numFmtId="0" xfId="0" applyAlignment="1" applyBorder="1" applyFill="1" applyFont="1">
      <alignment horizontal="center" shrinkToFit="0" wrapText="1"/>
    </xf>
    <xf borderId="1" fillId="3" fontId="2" numFmtId="165" xfId="0" applyAlignment="1" applyBorder="1" applyFill="1" applyFont="1" applyNumberFormat="1">
      <alignment horizontal="center" shrinkToFit="0" wrapText="1"/>
    </xf>
    <xf borderId="0" fillId="24" fontId="1" numFmtId="165" xfId="0" applyAlignment="1" applyFill="1" applyFont="1" applyNumberFormat="1">
      <alignment readingOrder="0" vertical="center"/>
    </xf>
    <xf borderId="1" fillId="0" fontId="2" numFmtId="0" xfId="0" applyAlignment="1" applyBorder="1" applyFont="1">
      <alignment horizontal="center" shrinkToFit="0" wrapText="1"/>
    </xf>
    <xf borderId="0" fillId="24" fontId="1" numFmtId="0" xfId="0" applyAlignment="1" applyFill="1" applyFont="1">
      <alignment readingOrder="0" vertical="center"/>
    </xf>
    <xf borderId="1" fillId="0" fontId="16" numFmtId="173" xfId="0" applyAlignment="1" applyBorder="1" applyFont="1" applyNumberFormat="1">
      <alignment horizontal="center" readingOrder="0" shrinkToFit="0" vertical="center" wrapText="1"/>
    </xf>
    <xf borderId="0" fillId="24" fontId="1" numFmtId="165" xfId="0" applyAlignment="1" applyFill="1" applyFont="1" applyNumberFormat="1">
      <alignment shrinkToFit="0" vertical="center" wrapText="1"/>
    </xf>
    <xf borderId="1" fillId="3" fontId="16" numFmtId="0" xfId="0" applyAlignment="1" applyBorder="1" applyFill="1" applyFont="1">
      <alignment horizontal="center" readingOrder="0" shrinkToFit="0" vertical="bottom" wrapText="1"/>
    </xf>
    <xf borderId="0" fillId="24" fontId="1" numFmtId="0" xfId="0" applyAlignment="1" applyFill="1" applyFont="1">
      <alignment shrinkToFit="0" vertical="center" wrapText="1"/>
    </xf>
    <xf borderId="1" fillId="3" fontId="16" numFmtId="165" xfId="0" applyAlignment="1" applyBorder="1" applyFill="1" applyFont="1" applyNumberFormat="1">
      <alignment horizontal="center" readingOrder="0" shrinkToFit="0" vertical="center" wrapText="1"/>
    </xf>
    <xf borderId="1" fillId="3" fontId="16" numFmtId="0" xfId="0" applyAlignment="1" applyBorder="1" applyFill="1" applyFont="1">
      <alignment horizontal="center" readingOrder="0" shrinkToFit="0" vertical="center" wrapText="1"/>
    </xf>
    <xf borderId="1" fillId="12" fontId="1" numFmtId="0" xfId="0" applyAlignment="1" applyBorder="1" applyFill="1" applyFont="1">
      <alignment horizontal="center" readingOrder="0" vertical="center"/>
    </xf>
    <xf borderId="5" fillId="3" fontId="5" numFmtId="0" xfId="0" applyAlignment="1" applyBorder="1" applyFill="1" applyFont="1">
      <alignment horizontal="center" readingOrder="0" vertical="center"/>
    </xf>
    <xf borderId="1" fillId="0" fontId="8" numFmtId="173" xfId="0" applyAlignment="1" applyBorder="1" applyFont="1" applyNumberFormat="1">
      <alignment horizontal="center" readingOrder="0" shrinkToFit="0" vertical="center" wrapText="1"/>
    </xf>
    <xf borderId="1" fillId="0" fontId="1" numFmtId="164" xfId="0" applyAlignment="1" applyBorder="1" applyFont="1" applyNumberFormat="1">
      <alignment readingOrder="0" vertical="center"/>
    </xf>
    <xf borderId="0" fillId="0" fontId="8" numFmtId="0" xfId="0" applyAlignment="1" applyFont="1">
      <alignment vertical="center"/>
    </xf>
    <xf borderId="1" fillId="3" fontId="31" numFmtId="165" xfId="0" applyAlignment="1" applyBorder="1" applyFill="1" applyFont="1" applyNumberFormat="1">
      <alignment horizontal="center" readingOrder="0" shrinkToFit="0" vertical="center" wrapText="1"/>
    </xf>
    <xf borderId="0" fillId="0" fontId="8" numFmtId="0" xfId="0" applyAlignment="1" applyFont="1">
      <alignment shrinkToFit="0" vertical="center" wrapText="1"/>
    </xf>
    <xf borderId="0" fillId="24" fontId="1" numFmtId="165" xfId="0" applyAlignment="1" applyFill="1" applyFont="1" applyNumberFormat="1">
      <alignment vertical="center"/>
    </xf>
    <xf borderId="0" fillId="24" fontId="1" numFmtId="0" xfId="0" applyAlignment="1" applyFill="1" applyFont="1">
      <alignment vertical="center"/>
    </xf>
    <xf borderId="0" fillId="6" fontId="8" numFmtId="0" xfId="0" applyAlignment="1" applyFill="1" applyFont="1">
      <alignment vertical="center"/>
    </xf>
    <xf borderId="0" fillId="12" fontId="8" numFmtId="0" xfId="0" applyAlignment="1" applyFill="1" applyFont="1">
      <alignment vertical="center"/>
    </xf>
    <xf borderId="1" fillId="7" fontId="1" numFmtId="165" xfId="0" applyAlignment="1" applyBorder="1" applyFill="1" applyFont="1" applyNumberFormat="1">
      <alignment readingOrder="0" shrinkToFit="0" vertical="center" wrapText="1"/>
    </xf>
    <xf borderId="5" fillId="0" fontId="1" numFmtId="164" xfId="0" applyAlignment="1" applyBorder="1" applyFont="1" applyNumberFormat="1">
      <alignment horizontal="left" readingOrder="0" shrinkToFit="0" vertical="center" wrapText="1"/>
    </xf>
    <xf borderId="1" fillId="3" fontId="8" numFmtId="0" xfId="0" applyAlignment="1" applyBorder="1" applyFill="1" applyFont="1">
      <alignment horizontal="center" vertical="center"/>
    </xf>
    <xf borderId="1" fillId="3" fontId="1" numFmtId="0" xfId="0" applyAlignment="1" applyBorder="1" applyFill="1" applyFont="1">
      <alignment horizontal="center" readingOrder="0" vertical="center"/>
    </xf>
    <xf borderId="1" fillId="7" fontId="5" numFmtId="165" xfId="0" applyAlignment="1" applyBorder="1" applyFill="1" applyFont="1" applyNumberFormat="1">
      <alignment readingOrder="0" shrinkToFit="0" vertical="center" wrapText="1"/>
    </xf>
    <xf borderId="1" fillId="3" fontId="8" numFmtId="0" xfId="0" applyAlignment="1" applyBorder="1" applyFill="1" applyFont="1">
      <alignment horizontal="center" vertical="center"/>
    </xf>
    <xf borderId="0" fillId="0" fontId="1" numFmtId="0" xfId="0" applyAlignment="1" applyFont="1">
      <alignment readingOrder="0" shrinkToFit="0" vertical="center" wrapText="1"/>
    </xf>
    <xf borderId="0" fillId="3" fontId="5" numFmtId="167" xfId="0" applyAlignment="1" applyFill="1" applyFont="1" applyNumberFormat="1">
      <alignment shrinkToFit="0" wrapText="1"/>
    </xf>
    <xf borderId="0" fillId="0" fontId="1" numFmtId="0" xfId="0" applyAlignment="1" applyFont="1">
      <alignment shrinkToFit="0" vertical="center" wrapText="1"/>
    </xf>
    <xf borderId="0" fillId="0" fontId="1" numFmtId="167" xfId="0" applyAlignment="1" applyFont="1" applyNumberFormat="1">
      <alignment readingOrder="0" shrinkToFit="0" vertical="center" wrapText="1"/>
    </xf>
    <xf borderId="1" fillId="0" fontId="32" numFmtId="0" xfId="0" applyAlignment="1" applyBorder="1" applyFont="1">
      <alignment readingOrder="0" vertical="center"/>
    </xf>
    <xf borderId="9" fillId="14" fontId="2" numFmtId="0" xfId="0" applyAlignment="1" applyBorder="1" applyFill="1" applyFont="1">
      <alignment horizontal="center" shrinkToFit="0" vertical="bottom" wrapText="1"/>
    </xf>
    <xf borderId="10" fillId="0" fontId="3" numFmtId="0" xfId="0" applyBorder="1" applyFont="1"/>
    <xf borderId="1" fillId="3" fontId="33" numFmtId="0" xfId="0" applyAlignment="1" applyBorder="1" applyFill="1" applyFont="1">
      <alignment horizontal="center" readingOrder="0" vertical="center"/>
    </xf>
    <xf borderId="1" fillId="10" fontId="1" numFmtId="166" xfId="0" applyAlignment="1" applyBorder="1" applyFill="1" applyFont="1" applyNumberFormat="1">
      <alignment readingOrder="0" vertical="center"/>
    </xf>
    <xf borderId="11" fillId="3" fontId="2" numFmtId="0" xfId="0" applyAlignment="1" applyBorder="1" applyFill="1" applyFont="1">
      <alignment horizontal="center" shrinkToFit="0" vertical="bottom" wrapText="1"/>
    </xf>
    <xf borderId="7" fillId="3" fontId="2" numFmtId="0" xfId="0" applyAlignment="1" applyBorder="1" applyFill="1" applyFont="1">
      <alignment horizontal="center" shrinkToFit="0" vertical="center" wrapText="1"/>
    </xf>
    <xf borderId="7" fillId="3" fontId="2" numFmtId="0" xfId="0" applyAlignment="1" applyBorder="1" applyFill="1" applyFont="1">
      <alignment horizontal="center" shrinkToFit="0" vertical="center" wrapText="1"/>
    </xf>
    <xf borderId="7" fillId="3" fontId="2" numFmtId="165" xfId="0" applyAlignment="1" applyBorder="1" applyFill="1" applyFont="1" applyNumberFormat="1">
      <alignment horizontal="center" shrinkToFit="0" vertical="center" wrapText="1"/>
    </xf>
    <xf borderId="6" fillId="0" fontId="2" numFmtId="0" xfId="0" applyAlignment="1" applyBorder="1" applyFont="1">
      <alignment horizontal="center" shrinkToFit="0" vertical="center" wrapText="1"/>
    </xf>
    <xf borderId="6" fillId="3" fontId="2" numFmtId="0" xfId="0" applyAlignment="1" applyBorder="1" applyFill="1" applyFont="1">
      <alignment horizontal="center" shrinkToFit="0" vertical="center" wrapText="1"/>
    </xf>
    <xf borderId="1" fillId="12" fontId="1" numFmtId="164" xfId="0" applyAlignment="1" applyBorder="1" applyFill="1" applyFont="1" applyNumberFormat="1">
      <alignment horizontal="center" readingOrder="0"/>
    </xf>
    <xf borderId="1" fillId="12" fontId="1" numFmtId="0" xfId="0" applyAlignment="1" applyBorder="1" applyFill="1" applyFont="1">
      <alignment horizontal="center" readingOrder="0" shrinkToFit="0" vertical="center" wrapText="1"/>
    </xf>
    <xf borderId="1" fillId="7" fontId="1" numFmtId="165" xfId="0" applyAlignment="1" applyBorder="1" applyFill="1" applyFont="1" applyNumberFormat="1">
      <alignment horizontal="center" vertical="center"/>
    </xf>
    <xf borderId="1" fillId="12" fontId="1" numFmtId="167" xfId="0" applyAlignment="1" applyBorder="1" applyFill="1" applyFont="1" applyNumberFormat="1">
      <alignment horizontal="center" readingOrder="0" vertical="center"/>
    </xf>
    <xf borderId="1" fillId="0" fontId="1" numFmtId="166" xfId="0" applyAlignment="1" applyBorder="1" applyFont="1" applyNumberFormat="1">
      <alignment horizontal="center" readingOrder="0"/>
    </xf>
    <xf borderId="1" fillId="7" fontId="1" numFmtId="167" xfId="0" applyAlignment="1" applyBorder="1" applyFill="1" applyFont="1" applyNumberFormat="1">
      <alignment horizontal="center" readingOrder="0" vertical="center"/>
    </xf>
    <xf borderId="1" fillId="7" fontId="1" numFmtId="167" xfId="0" applyAlignment="1" applyBorder="1" applyFill="1" applyFont="1" applyNumberFormat="1">
      <alignment horizontal="center" vertical="center"/>
    </xf>
    <xf borderId="1" fillId="0" fontId="1" numFmtId="0" xfId="0" applyAlignment="1" applyBorder="1" applyFont="1">
      <alignment horizontal="left" readingOrder="0" shrinkToFit="0" vertical="center" wrapText="1"/>
    </xf>
    <xf borderId="1" fillId="12" fontId="34" numFmtId="0" xfId="0" applyAlignment="1" applyBorder="1" applyFill="1" applyFont="1">
      <alignment horizontal="center" readingOrder="0" vertical="center"/>
    </xf>
    <xf borderId="1" fillId="12" fontId="35" numFmtId="0" xfId="0" applyAlignment="1" applyBorder="1" applyFill="1" applyFont="1">
      <alignment horizontal="center" readingOrder="0" vertical="center"/>
    </xf>
    <xf borderId="1" fillId="12" fontId="1" numFmtId="0" xfId="0" applyAlignment="1" applyBorder="1" applyFill="1" applyFont="1">
      <alignment horizontal="center" vertical="center"/>
    </xf>
    <xf borderId="1" fillId="12" fontId="1" numFmtId="164" xfId="0" applyAlignment="1" applyBorder="1" applyFill="1" applyFont="1" applyNumberFormat="1">
      <alignment horizontal="center" readingOrder="0" vertical="center"/>
    </xf>
    <xf borderId="0" fillId="0" fontId="1" numFmtId="0" xfId="0" applyAlignment="1" applyFont="1">
      <alignment readingOrder="0" shrinkToFit="0" vertical="center" wrapText="0"/>
    </xf>
    <xf borderId="1" fillId="7" fontId="1" numFmtId="167" xfId="0" applyAlignment="1" applyBorder="1" applyFill="1" applyFont="1" applyNumberFormat="1">
      <alignment horizontal="center"/>
    </xf>
    <xf borderId="1" fillId="0" fontId="1" numFmtId="0" xfId="0" applyAlignment="1" applyBorder="1" applyFont="1">
      <alignment horizontal="left" readingOrder="0" shrinkToFit="0" wrapText="1"/>
    </xf>
    <xf borderId="1" fillId="12" fontId="36" numFmtId="0" xfId="0" applyAlignment="1" applyBorder="1" applyFill="1" applyFont="1">
      <alignment horizontal="center" readingOrder="0"/>
    </xf>
    <xf borderId="1" fillId="12" fontId="1" numFmtId="0" xfId="0" applyAlignment="1" applyBorder="1" applyFill="1" applyFont="1">
      <alignment horizontal="center" readingOrder="0"/>
    </xf>
    <xf borderId="1" fillId="12" fontId="1" numFmtId="0" xfId="0" applyAlignment="1" applyBorder="1" applyFill="1" applyFont="1">
      <alignment horizontal="center"/>
    </xf>
    <xf borderId="1" fillId="12" fontId="1" numFmtId="0" xfId="0" applyAlignment="1" applyBorder="1" applyFill="1" applyFont="1">
      <alignment vertical="center"/>
    </xf>
    <xf borderId="1" fillId="12" fontId="1" numFmtId="0" xfId="0" applyBorder="1" applyFill="1" applyFont="1"/>
    <xf borderId="1" fillId="12" fontId="1" numFmtId="165" xfId="0" applyAlignment="1" applyBorder="1" applyFill="1" applyFont="1" applyNumberFormat="1">
      <alignment horizontal="center" readingOrder="0" vertical="center"/>
    </xf>
    <xf borderId="1" fillId="6" fontId="1" numFmtId="0" xfId="0" applyAlignment="1" applyBorder="1" applyFill="1" applyFont="1">
      <alignment vertical="center"/>
    </xf>
    <xf borderId="1" fillId="23" fontId="1" numFmtId="164" xfId="0" applyAlignment="1" applyBorder="1" applyFill="1" applyFont="1" applyNumberFormat="1">
      <alignment horizontal="center" readingOrder="0" vertical="center"/>
    </xf>
    <xf borderId="1" fillId="23" fontId="1" numFmtId="0" xfId="0" applyAlignment="1" applyBorder="1" applyFill="1" applyFont="1">
      <alignment horizontal="center" readingOrder="0" vertical="center"/>
    </xf>
    <xf borderId="1" fillId="23" fontId="1" numFmtId="167" xfId="0" applyAlignment="1" applyBorder="1" applyFill="1" applyFont="1" applyNumberFormat="1">
      <alignment horizontal="center" readingOrder="0" vertical="center"/>
    </xf>
    <xf borderId="1" fillId="23" fontId="37" numFmtId="0" xfId="0" applyAlignment="1" applyBorder="1" applyFill="1" applyFont="1">
      <alignment horizontal="center" readingOrder="0" vertical="center"/>
    </xf>
    <xf borderId="1" fillId="3" fontId="38" numFmtId="165" xfId="0" applyAlignment="1" applyBorder="1" applyFill="1" applyFont="1" applyNumberFormat="1">
      <alignment horizontal="center" readingOrder="0" vertical="center"/>
    </xf>
    <xf borderId="1" fillId="23" fontId="1" numFmtId="0" xfId="0" applyAlignment="1" applyBorder="1" applyFill="1" applyFont="1">
      <alignment horizontal="center" vertical="center"/>
    </xf>
    <xf borderId="1" fillId="0" fontId="39" numFmtId="165" xfId="0" applyAlignment="1" applyBorder="1" applyFont="1" applyNumberFormat="1">
      <alignment horizontal="center" readingOrder="0" vertical="center"/>
    </xf>
    <xf borderId="1" fillId="0" fontId="9" numFmtId="0" xfId="0" applyAlignment="1" applyBorder="1" applyFont="1">
      <alignment horizontal="center" shrinkToFit="0" vertical="center" wrapText="1"/>
    </xf>
    <xf borderId="1" fillId="0" fontId="9" numFmtId="175" xfId="0" applyAlignment="1" applyBorder="1" applyFont="1" applyNumberFormat="1">
      <alignment horizontal="center" readingOrder="0" vertical="center"/>
    </xf>
    <xf borderId="1" fillId="23" fontId="1" numFmtId="164" xfId="0" applyAlignment="1" applyBorder="1" applyFill="1" applyFont="1" applyNumberFormat="1">
      <alignment horizontal="center" readingOrder="0"/>
    </xf>
    <xf borderId="1" fillId="0" fontId="40" numFmtId="0" xfId="0" applyAlignment="1" applyBorder="1" applyFont="1">
      <alignment horizontal="center" readingOrder="0" vertical="center"/>
    </xf>
    <xf borderId="1" fillId="0" fontId="9" numFmtId="167" xfId="0" applyAlignment="1" applyBorder="1" applyFont="1" applyNumberFormat="1">
      <alignment horizontal="center" readingOrder="0" vertical="center"/>
    </xf>
    <xf borderId="1" fillId="0" fontId="9" numFmtId="167" xfId="0" applyAlignment="1" applyBorder="1" applyFont="1" applyNumberFormat="1">
      <alignment horizontal="center" vertical="center"/>
    </xf>
    <xf borderId="1" fillId="0" fontId="41" numFmtId="0" xfId="0" applyAlignment="1" applyBorder="1" applyFont="1">
      <alignment horizontal="center" readingOrder="0" vertical="center"/>
    </xf>
    <xf borderId="1" fillId="23" fontId="42" numFmtId="0" xfId="0" applyAlignment="1" applyBorder="1" applyFill="1" applyFont="1">
      <alignment horizontal="center" readingOrder="0"/>
    </xf>
    <xf borderId="1" fillId="0" fontId="9" numFmtId="0" xfId="0" applyAlignment="1" applyBorder="1" applyFont="1">
      <alignment horizontal="center" vertical="center"/>
    </xf>
    <xf borderId="1" fillId="0" fontId="9" numFmtId="166" xfId="0" applyAlignment="1" applyBorder="1" applyFont="1" applyNumberFormat="1">
      <alignment horizontal="center" readingOrder="0" vertical="center"/>
    </xf>
    <xf borderId="4" fillId="3" fontId="1" numFmtId="0" xfId="0" applyAlignment="1" applyBorder="1" applyFill="1" applyFont="1">
      <alignment horizontal="center" vertical="center"/>
    </xf>
    <xf borderId="0" fillId="0" fontId="9" numFmtId="176" xfId="0" applyAlignment="1" applyFont="1" applyNumberFormat="1">
      <alignment horizontal="right" vertical="bottom"/>
    </xf>
    <xf borderId="0" fillId="0" fontId="9" numFmtId="0" xfId="0" applyAlignment="1" applyFont="1">
      <alignment vertical="bottom"/>
    </xf>
    <xf borderId="1" fillId="23" fontId="1" numFmtId="0" xfId="0" applyAlignment="1" applyBorder="1" applyFill="1" applyFont="1">
      <alignment horizontal="center" readingOrder="0"/>
    </xf>
    <xf borderId="1" fillId="23" fontId="1" numFmtId="0" xfId="0" applyAlignment="1" applyBorder="1" applyFill="1" applyFont="1">
      <alignment horizontal="center"/>
    </xf>
    <xf borderId="1" fillId="23" fontId="1" numFmtId="0" xfId="0" applyAlignment="1" applyBorder="1" applyFill="1" applyFont="1">
      <alignment horizontal="center" readingOrder="0" shrinkToFit="0" vertical="center" wrapText="1"/>
    </xf>
    <xf borderId="1" fillId="0" fontId="7" numFmtId="165" xfId="0" applyAlignment="1" applyBorder="1" applyFont="1" applyNumberFormat="1">
      <alignment horizontal="center" vertical="center"/>
    </xf>
    <xf borderId="1" fillId="25" fontId="1" numFmtId="164" xfId="0" applyAlignment="1" applyBorder="1" applyFill="1" applyFont="1" applyNumberFormat="1">
      <alignment horizontal="center" readingOrder="0"/>
    </xf>
    <xf borderId="1" fillId="25" fontId="1" numFmtId="0" xfId="0" applyAlignment="1" applyBorder="1" applyFill="1" applyFont="1">
      <alignment horizontal="center" readingOrder="0" vertical="center"/>
    </xf>
    <xf borderId="1" fillId="25" fontId="1" numFmtId="0" xfId="0" applyAlignment="1" applyBorder="1" applyFill="1" applyFont="1">
      <alignment horizontal="center" readingOrder="0" shrinkToFit="0" vertical="center" wrapText="1"/>
    </xf>
    <xf borderId="1" fillId="0" fontId="43" numFmtId="0" xfId="0" applyAlignment="1" applyBorder="1" applyFont="1">
      <alignment horizontal="center" readingOrder="0" vertical="center"/>
    </xf>
    <xf borderId="1" fillId="25" fontId="1" numFmtId="167" xfId="0" applyAlignment="1" applyBorder="1" applyFill="1" applyFont="1" applyNumberFormat="1">
      <alignment horizontal="center" readingOrder="0" vertical="center"/>
    </xf>
    <xf borderId="1" fillId="3" fontId="1" numFmtId="165" xfId="0" applyAlignment="1" applyBorder="1" applyFill="1" applyFont="1" applyNumberFormat="1">
      <alignment horizontal="center"/>
    </xf>
    <xf borderId="1" fillId="25" fontId="44" numFmtId="0" xfId="0" applyAlignment="1" applyBorder="1" applyFill="1" applyFont="1">
      <alignment horizontal="center" readingOrder="0"/>
    </xf>
    <xf borderId="1" fillId="0" fontId="7" numFmtId="0" xfId="0" applyAlignment="1" applyBorder="1" applyFont="1">
      <alignment horizontal="center" vertical="center"/>
    </xf>
    <xf borderId="1" fillId="25" fontId="1" numFmtId="0" xfId="0" applyAlignment="1" applyBorder="1" applyFill="1" applyFont="1">
      <alignment horizontal="center" readingOrder="0"/>
    </xf>
    <xf borderId="0" fillId="0" fontId="45" numFmtId="0" xfId="0" applyFont="1"/>
    <xf borderId="1" fillId="25" fontId="1" numFmtId="0" xfId="0" applyAlignment="1" applyBorder="1" applyFill="1" applyFont="1">
      <alignment horizontal="center"/>
    </xf>
    <xf borderId="1" fillId="3" fontId="7" numFmtId="0" xfId="0" applyAlignment="1" applyBorder="1" applyFill="1" applyFont="1">
      <alignment horizontal="center" readingOrder="0" vertical="center"/>
    </xf>
    <xf borderId="1" fillId="25" fontId="1" numFmtId="164" xfId="0" applyAlignment="1" applyBorder="1" applyFill="1" applyFont="1" applyNumberFormat="1">
      <alignment horizontal="center" readingOrder="0" vertical="center"/>
    </xf>
    <xf borderId="1" fillId="25" fontId="46" numFmtId="0" xfId="0" applyAlignment="1" applyBorder="1" applyFill="1" applyFont="1">
      <alignment horizontal="center" readingOrder="0" vertical="center"/>
    </xf>
    <xf borderId="1" fillId="0" fontId="47" numFmtId="0" xfId="0" applyAlignment="1" applyBorder="1" applyFont="1">
      <alignment horizontal="center" readingOrder="0" vertical="center"/>
    </xf>
    <xf borderId="1" fillId="25" fontId="1" numFmtId="0" xfId="0" applyAlignment="1" applyBorder="1" applyFill="1" applyFont="1">
      <alignment horizontal="center" vertical="center"/>
    </xf>
    <xf borderId="1" fillId="25" fontId="5" numFmtId="164" xfId="0" applyAlignment="1" applyBorder="1" applyFill="1" applyFont="1" applyNumberFormat="1">
      <alignment horizontal="center" readingOrder="0" vertical="center"/>
    </xf>
    <xf borderId="0" fillId="0" fontId="45" numFmtId="0" xfId="0" applyAlignment="1" applyFont="1">
      <alignment horizontal="center" vertical="center"/>
    </xf>
    <xf borderId="1" fillId="8" fontId="1" numFmtId="167" xfId="0" applyAlignment="1" applyBorder="1" applyFill="1" applyFont="1" applyNumberFormat="1">
      <alignment horizontal="center" readingOrder="0" vertical="center"/>
    </xf>
    <xf borderId="1" fillId="3" fontId="7" numFmtId="0" xfId="0" applyAlignment="1" applyBorder="1" applyFill="1" applyFont="1">
      <alignment readingOrder="0" vertical="center"/>
    </xf>
    <xf borderId="1" fillId="3" fontId="7" numFmtId="165" xfId="0" applyAlignment="1" applyBorder="1" applyFill="1" applyFont="1" applyNumberFormat="1">
      <alignment horizontal="center" readingOrder="0" vertical="center"/>
    </xf>
    <xf borderId="1" fillId="3" fontId="7" numFmtId="165" xfId="0" applyAlignment="1" applyBorder="1" applyFill="1" applyFont="1" applyNumberFormat="1">
      <alignment horizontal="center" vertical="center"/>
    </xf>
    <xf borderId="1" fillId="3" fontId="48" numFmtId="0" xfId="0" applyAlignment="1" applyBorder="1" applyFill="1" applyFont="1">
      <alignment horizontal="center" readingOrder="0" vertical="center"/>
    </xf>
    <xf borderId="1" fillId="25" fontId="1" numFmtId="164" xfId="0" applyAlignment="1" applyBorder="1" applyFill="1" applyFont="1" applyNumberFormat="1">
      <alignment readingOrder="0"/>
    </xf>
    <xf borderId="1" fillId="3" fontId="16" numFmtId="164" xfId="0" applyAlignment="1" applyBorder="1" applyFill="1" applyFont="1" applyNumberFormat="1">
      <alignment horizontal="center" readingOrder="0" vertical="center"/>
    </xf>
    <xf borderId="1" fillId="3" fontId="49" numFmtId="0" xfId="0" applyAlignment="1" applyBorder="1" applyFill="1" applyFont="1">
      <alignment readingOrder="0"/>
    </xf>
    <xf borderId="1" fillId="3" fontId="7" numFmtId="0" xfId="0" applyBorder="1" applyFill="1" applyFont="1"/>
    <xf borderId="0" fillId="3" fontId="45" numFmtId="0" xfId="0" applyFill="1" applyFont="1"/>
    <xf borderId="1" fillId="25" fontId="50" numFmtId="0" xfId="0" applyAlignment="1" applyBorder="1" applyFill="1" applyFont="1">
      <alignment readingOrder="0"/>
    </xf>
    <xf borderId="1" fillId="25" fontId="1" numFmtId="0" xfId="0" applyBorder="1" applyFill="1" applyFont="1"/>
    <xf borderId="1" fillId="8" fontId="7" numFmtId="0" xfId="0" applyAlignment="1" applyBorder="1" applyFill="1" applyFont="1">
      <alignment horizontal="center" readingOrder="0" vertical="center"/>
    </xf>
    <xf borderId="0" fillId="25" fontId="1" numFmtId="164" xfId="0" applyAlignment="1" applyFill="1" applyFont="1" applyNumberFormat="1">
      <alignment horizontal="center" readingOrder="0"/>
    </xf>
    <xf borderId="1" fillId="0" fontId="51" numFmtId="165" xfId="0" applyAlignment="1" applyBorder="1" applyFont="1" applyNumberFormat="1">
      <alignment horizontal="center" readingOrder="0"/>
    </xf>
    <xf borderId="5" fillId="25" fontId="5" numFmtId="164" xfId="0" applyAlignment="1" applyBorder="1" applyFill="1" applyFont="1" applyNumberFormat="1">
      <alignment horizontal="center" readingOrder="0" vertical="center"/>
    </xf>
    <xf borderId="1" fillId="0" fontId="51" numFmtId="165" xfId="0" applyAlignment="1" applyBorder="1" applyFont="1" applyNumberFormat="1">
      <alignment horizontal="center" vertical="center"/>
    </xf>
    <xf borderId="1" fillId="25" fontId="52" numFmtId="0" xfId="0" applyAlignment="1" applyBorder="1" applyFill="1" applyFont="1">
      <alignment readingOrder="0" vertical="center"/>
    </xf>
    <xf borderId="1" fillId="25" fontId="1" numFmtId="0" xfId="0" applyAlignment="1" applyBorder="1" applyFill="1" applyFont="1">
      <alignment readingOrder="0" shrinkToFit="0" vertical="center" wrapText="1"/>
    </xf>
    <xf borderId="0" fillId="0" fontId="1" numFmtId="0" xfId="0" applyAlignment="1" applyFont="1">
      <alignment horizontal="center" shrinkToFit="0" wrapText="1"/>
    </xf>
    <xf borderId="1" fillId="3" fontId="4" numFmtId="165" xfId="0" applyAlignment="1" applyBorder="1" applyFill="1" applyFont="1" applyNumberFormat="1">
      <alignment horizontal="center" readingOrder="0" shrinkToFit="0" vertical="center" wrapText="1"/>
    </xf>
    <xf borderId="1" fillId="0" fontId="53" numFmtId="0" xfId="0" applyAlignment="1" applyBorder="1" applyFont="1">
      <alignment horizontal="center" readingOrder="0" shrinkToFit="0" vertical="center" wrapText="1"/>
    </xf>
    <xf borderId="1" fillId="3" fontId="8" numFmtId="0" xfId="0" applyAlignment="1" applyBorder="1" applyFill="1" applyFont="1">
      <alignment horizontal="center" readingOrder="0" shrinkToFit="0" vertical="center" wrapText="0"/>
    </xf>
    <xf borderId="0" fillId="0" fontId="1" numFmtId="0" xfId="0" applyAlignment="1" applyFont="1">
      <alignment horizontal="center" shrinkToFit="0" vertical="center" wrapText="1"/>
    </xf>
    <xf borderId="0" fillId="0" fontId="1" numFmtId="167" xfId="0" applyAlignment="1" applyFont="1" applyNumberFormat="1">
      <alignment readingOrder="0"/>
    </xf>
    <xf borderId="1" fillId="12" fontId="16" numFmtId="0" xfId="0" applyAlignment="1" applyBorder="1" applyFill="1" applyFont="1">
      <alignment horizontal="center" readingOrder="0" vertical="center"/>
    </xf>
    <xf borderId="1" fillId="3" fontId="1" numFmtId="167" xfId="0" applyAlignment="1" applyBorder="1" applyFill="1" applyFont="1" applyNumberFormat="1">
      <alignment horizontal="center" readingOrder="0" vertical="center"/>
    </xf>
    <xf borderId="1" fillId="7" fontId="1" numFmtId="167" xfId="0" applyAlignment="1" applyBorder="1" applyFill="1" applyFont="1" applyNumberFormat="1">
      <alignment horizontal="center" vertical="center"/>
    </xf>
    <xf borderId="1" fillId="3" fontId="16" numFmtId="173" xfId="0" applyAlignment="1" applyBorder="1" applyFill="1" applyFont="1" applyNumberFormat="1">
      <alignment horizontal="center" readingOrder="0" shrinkToFit="0" vertical="center" wrapText="1"/>
    </xf>
    <xf borderId="1" fillId="3" fontId="16" numFmtId="0" xfId="0" applyAlignment="1" applyBorder="1" applyFill="1" applyFont="1">
      <alignment horizontal="center" vertical="center"/>
    </xf>
    <xf borderId="1" fillId="3" fontId="16" numFmtId="173" xfId="0" applyAlignment="1" applyBorder="1" applyFill="1" applyFont="1" applyNumberFormat="1">
      <alignment horizontal="center" vertical="center"/>
    </xf>
    <xf borderId="1" fillId="3" fontId="16" numFmtId="165" xfId="0" applyAlignment="1" applyBorder="1" applyFill="1" applyFont="1" applyNumberFormat="1">
      <alignment horizontal="center" vertical="center"/>
    </xf>
    <xf borderId="1" fillId="3" fontId="54" numFmtId="0" xfId="0" applyAlignment="1" applyBorder="1" applyFill="1" applyFont="1">
      <alignment horizontal="center" readingOrder="0" shrinkToFit="0" vertical="center" wrapText="1"/>
    </xf>
    <xf borderId="0" fillId="0" fontId="5" numFmtId="0" xfId="0" applyFont="1"/>
    <xf borderId="1" fillId="3" fontId="1" numFmtId="165" xfId="0" applyAlignment="1" applyBorder="1" applyFill="1" applyFont="1" applyNumberFormat="1">
      <alignment vertical="center"/>
    </xf>
    <xf borderId="0" fillId="7" fontId="1" numFmtId="0" xfId="0" applyAlignment="1" applyFill="1" applyFont="1">
      <alignment readingOrder="0" vertical="center"/>
    </xf>
    <xf borderId="0" fillId="7" fontId="1" numFmtId="0" xfId="0" applyFill="1" applyFont="1"/>
    <xf borderId="0" fillId="7" fontId="1" numFmtId="0" xfId="0" applyAlignment="1" applyFill="1" applyFont="1">
      <alignment vertical="center"/>
    </xf>
    <xf borderId="0" fillId="23" fontId="1" numFmtId="0" xfId="0" applyAlignment="1" applyFill="1" applyFont="1">
      <alignment readingOrder="0" vertical="center"/>
    </xf>
    <xf borderId="0" fillId="23" fontId="1" numFmtId="0" xfId="0" applyAlignment="1" applyFill="1" applyFont="1">
      <alignment vertical="center"/>
    </xf>
    <xf borderId="1" fillId="0" fontId="16" numFmtId="0" xfId="0" applyAlignment="1" applyBorder="1" applyFont="1">
      <alignment horizontal="center" shrinkToFit="0" vertical="center" wrapText="1"/>
    </xf>
    <xf borderId="1" fillId="0" fontId="16" numFmtId="165" xfId="0" applyAlignment="1" applyBorder="1" applyFont="1" applyNumberFormat="1">
      <alignment horizontal="center" shrinkToFit="0" vertical="center" wrapText="1"/>
    </xf>
    <xf borderId="12" fillId="14" fontId="2" numFmtId="0" xfId="0" applyAlignment="1" applyBorder="1" applyFill="1" applyFont="1">
      <alignment horizontal="center" shrinkToFit="0" vertical="bottom" wrapText="1"/>
    </xf>
    <xf borderId="13" fillId="0" fontId="3" numFmtId="0" xfId="0" applyBorder="1" applyFont="1"/>
    <xf borderId="14" fillId="3" fontId="2" numFmtId="0" xfId="0" applyAlignment="1" applyBorder="1" applyFill="1" applyFont="1">
      <alignment horizontal="center" shrinkToFit="0" vertical="bottom" wrapText="1"/>
    </xf>
    <xf borderId="1" fillId="12" fontId="1" numFmtId="164" xfId="0" applyAlignment="1" applyBorder="1" applyFill="1" applyFont="1" applyNumberFormat="1">
      <alignment readingOrder="0"/>
    </xf>
    <xf borderId="0" fillId="3" fontId="2" numFmtId="0" xfId="0" applyAlignment="1" applyFill="1" applyFont="1">
      <alignment horizontal="center" readingOrder="0" shrinkToFit="0" vertical="bottom" wrapText="1"/>
    </xf>
    <xf borderId="5" fillId="0" fontId="1" numFmtId="0" xfId="0" applyAlignment="1" applyBorder="1" applyFont="1">
      <alignment readingOrder="0" shrinkToFit="0" vertical="center" wrapText="0"/>
    </xf>
    <xf borderId="1" fillId="26" fontId="1" numFmtId="0" xfId="0" applyAlignment="1" applyBorder="1" applyFill="1" applyFont="1">
      <alignment horizontal="center" readingOrder="0" vertical="center"/>
    </xf>
    <xf borderId="1" fillId="26" fontId="1" numFmtId="167" xfId="0" applyAlignment="1" applyBorder="1" applyFill="1" applyFont="1" applyNumberFormat="1">
      <alignment horizontal="center" vertical="center"/>
    </xf>
    <xf borderId="1" fillId="26" fontId="55" numFmtId="0" xfId="0" applyAlignment="1" applyBorder="1" applyFill="1" applyFont="1">
      <alignment horizontal="center" readingOrder="0" vertical="center"/>
    </xf>
    <xf borderId="1" fillId="26" fontId="1" numFmtId="0" xfId="0" applyAlignment="1" applyBorder="1" applyFill="1" applyFont="1">
      <alignment horizontal="center" readingOrder="0"/>
    </xf>
    <xf borderId="1" fillId="26" fontId="1" numFmtId="0" xfId="0" applyAlignment="1" applyBorder="1" applyFill="1" applyFont="1">
      <alignment horizontal="center" vertical="center"/>
    </xf>
    <xf borderId="1" fillId="26" fontId="1" numFmtId="164" xfId="0" applyAlignment="1" applyBorder="1" applyFill="1" applyFont="1" applyNumberFormat="1">
      <alignment horizontal="center" readingOrder="0" vertical="center"/>
    </xf>
    <xf borderId="1" fillId="3" fontId="2" numFmtId="0" xfId="0" applyAlignment="1" applyBorder="1" applyFill="1" applyFont="1">
      <alignment horizontal="center" readingOrder="0" shrinkToFit="0" wrapText="1"/>
    </xf>
    <xf borderId="1" fillId="26" fontId="1" numFmtId="0" xfId="0" applyAlignment="1" applyBorder="1" applyFill="1" applyFont="1">
      <alignment readingOrder="0" vertical="center"/>
    </xf>
    <xf borderId="1" fillId="26" fontId="56" numFmtId="0" xfId="0" applyAlignment="1" applyBorder="1" applyFill="1" applyFont="1">
      <alignment readingOrder="0" vertical="center"/>
    </xf>
    <xf borderId="1" fillId="26" fontId="1" numFmtId="0" xfId="0" applyAlignment="1" applyBorder="1" applyFill="1" applyFont="1">
      <alignment readingOrder="0" shrinkToFit="0" vertical="center" wrapText="1"/>
    </xf>
    <xf borderId="1" fillId="3" fontId="1" numFmtId="167" xfId="0" applyAlignment="1" applyBorder="1" applyFill="1" applyFont="1" applyNumberFormat="1">
      <alignment horizontal="center" vertical="center"/>
    </xf>
    <xf borderId="1" fillId="3" fontId="8" numFmtId="0" xfId="0" applyAlignment="1" applyBorder="1" applyFill="1" applyFont="1">
      <alignment readingOrder="0" shrinkToFit="0" vertical="bottom" wrapText="0"/>
    </xf>
    <xf borderId="1" fillId="3" fontId="57" numFmtId="0" xfId="0" applyAlignment="1" applyBorder="1" applyFill="1" applyFont="1">
      <alignment horizontal="center" shrinkToFit="0" wrapText="1"/>
    </xf>
    <xf borderId="1" fillId="3" fontId="57" numFmtId="165" xfId="0" applyAlignment="1" applyBorder="1" applyFill="1" applyFont="1" applyNumberFormat="1">
      <alignment horizontal="center" shrinkToFit="0" wrapText="1"/>
    </xf>
    <xf borderId="1" fillId="0" fontId="57" numFmtId="0" xfId="0" applyAlignment="1" applyBorder="1" applyFont="1">
      <alignment horizontal="center" shrinkToFit="0" wrapText="1"/>
    </xf>
    <xf borderId="0" fillId="3" fontId="58" numFmtId="0" xfId="0" applyFill="1" applyFont="1"/>
    <xf borderId="1" fillId="6" fontId="1" numFmtId="0" xfId="0" applyAlignment="1" applyBorder="1" applyFill="1" applyFont="1">
      <alignment horizontal="center" vertical="center"/>
    </xf>
    <xf borderId="1" fillId="12" fontId="1" numFmtId="167" xfId="0" applyAlignment="1" applyBorder="1" applyFill="1" applyFont="1" applyNumberFormat="1">
      <alignment horizontal="center" vertical="center"/>
    </xf>
    <xf borderId="1" fillId="7" fontId="1" numFmtId="0" xfId="0" applyAlignment="1" applyBorder="1" applyFill="1" applyFont="1">
      <alignment horizontal="center" readingOrder="0" vertical="center"/>
    </xf>
    <xf borderId="1" fillId="0" fontId="8" numFmtId="0" xfId="0" applyAlignment="1" applyBorder="1" applyFont="1">
      <alignment horizontal="center" vertical="center"/>
    </xf>
    <xf borderId="0" fillId="3" fontId="58" numFmtId="0" xfId="0" applyAlignment="1" applyFill="1" applyFont="1">
      <alignment horizontal="center" vertical="center"/>
    </xf>
    <xf borderId="1" fillId="8" fontId="1" numFmtId="165" xfId="0" applyAlignment="1" applyBorder="1" applyFill="1" applyFont="1" applyNumberFormat="1">
      <alignment horizontal="center" vertical="center"/>
    </xf>
    <xf borderId="1" fillId="23" fontId="1" numFmtId="165" xfId="0" applyAlignment="1" applyBorder="1" applyFill="1" applyFont="1" applyNumberFormat="1">
      <alignment horizontal="center" readingOrder="0" vertical="center"/>
    </xf>
    <xf borderId="1" fillId="25" fontId="1" numFmtId="0" xfId="0" applyAlignment="1" applyBorder="1" applyFill="1" applyFont="1">
      <alignment readingOrder="0"/>
    </xf>
    <xf borderId="0" fillId="0" fontId="1" numFmtId="0" xfId="0" applyAlignment="1" applyFont="1">
      <alignment horizontal="left" shrinkToFit="0" vertical="center" wrapText="1"/>
    </xf>
    <xf borderId="1" fillId="0" fontId="59" numFmtId="0" xfId="0" applyAlignment="1" applyBorder="1" applyFont="1">
      <alignment readingOrder="0"/>
    </xf>
    <xf borderId="1" fillId="25" fontId="9" numFmtId="0" xfId="0" applyAlignment="1" applyBorder="1" applyFill="1" applyFont="1">
      <alignment horizontal="center"/>
    </xf>
    <xf borderId="0" fillId="0" fontId="12" numFmtId="0" xfId="0" applyAlignment="1" applyFont="1">
      <alignment shrinkToFit="0" vertical="center" wrapText="1"/>
    </xf>
    <xf borderId="0" fillId="0" fontId="12" numFmtId="0" xfId="0" applyAlignment="1" applyFont="1">
      <alignment vertical="center"/>
    </xf>
    <xf borderId="0" fillId="0" fontId="12" numFmtId="0" xfId="0" applyAlignment="1" applyFont="1">
      <alignment shrinkToFit="0" vertical="bottom" wrapText="1"/>
    </xf>
    <xf borderId="0" fillId="0" fontId="12" numFmtId="0" xfId="0" applyAlignment="1" applyFont="1">
      <alignment horizontal="left" shrinkToFit="0" vertical="center" wrapText="1"/>
    </xf>
    <xf borderId="0" fillId="0" fontId="12" numFmtId="0" xfId="0" applyAlignment="1" applyFont="1">
      <alignment vertical="bottom"/>
    </xf>
    <xf borderId="0" fillId="0" fontId="12" numFmtId="0" xfId="0" applyAlignment="1" applyFont="1">
      <alignment horizontal="center" vertical="center"/>
    </xf>
    <xf borderId="2" fillId="0" fontId="57" numFmtId="0" xfId="0" applyAlignment="1" applyBorder="1" applyFont="1">
      <alignment shrinkToFit="0" vertical="center" wrapText="1"/>
    </xf>
    <xf borderId="1" fillId="25" fontId="1" numFmtId="164" xfId="0" applyAlignment="1" applyBorder="1" applyFill="1" applyFont="1" applyNumberFormat="1">
      <alignment readingOrder="0" vertical="center"/>
    </xf>
    <xf borderId="1" fillId="0" fontId="57" numFmtId="165" xfId="0" applyAlignment="1" applyBorder="1" applyFont="1" applyNumberFormat="1">
      <alignment horizontal="right" shrinkToFit="0" vertical="bottom" wrapText="1"/>
    </xf>
    <xf borderId="1" fillId="25" fontId="1" numFmtId="0" xfId="0" applyAlignment="1" applyBorder="1" applyFill="1" applyFont="1">
      <alignment readingOrder="0" vertical="center"/>
    </xf>
    <xf borderId="15" fillId="27" fontId="57" numFmtId="0" xfId="0" applyAlignment="1" applyBorder="1" applyFill="1" applyFont="1">
      <alignment shrinkToFit="0" vertical="bottom" wrapText="1"/>
    </xf>
    <xf borderId="1" fillId="25" fontId="9" numFmtId="0" xfId="0" applyAlignment="1" applyBorder="1" applyFill="1" applyFont="1">
      <alignment horizontal="center" vertical="center"/>
    </xf>
    <xf borderId="1" fillId="7" fontId="9" numFmtId="167" xfId="0" applyAlignment="1" applyBorder="1" applyFill="1" applyFont="1" applyNumberFormat="1">
      <alignment horizontal="center" vertical="center"/>
    </xf>
    <xf borderId="0" fillId="0" fontId="9" numFmtId="0" xfId="0" applyAlignment="1" applyFont="1">
      <alignment vertical="center"/>
    </xf>
    <xf borderId="0" fillId="0" fontId="9" numFmtId="0" xfId="0" applyAlignment="1" applyFont="1">
      <alignment shrinkToFit="0" vertical="center" wrapText="1"/>
    </xf>
    <xf borderId="0" fillId="6" fontId="9" numFmtId="0" xfId="0" applyAlignment="1" applyFill="1" applyFont="1">
      <alignment vertical="center"/>
    </xf>
    <xf borderId="0" fillId="12" fontId="9" numFmtId="0" xfId="0" applyAlignment="1" applyFill="1" applyFont="1">
      <alignment vertical="center"/>
    </xf>
    <xf borderId="2" fillId="3" fontId="57" numFmtId="0" xfId="0" applyAlignment="1" applyBorder="1" applyFill="1" applyFont="1">
      <alignment shrinkToFit="0" vertical="center" wrapText="1"/>
    </xf>
    <xf borderId="1" fillId="3" fontId="57" numFmtId="165" xfId="0" applyAlignment="1" applyBorder="1" applyFill="1" applyFont="1" applyNumberFormat="1">
      <alignment horizontal="right" shrinkToFit="0" vertical="bottom" wrapText="1"/>
    </xf>
    <xf borderId="0" fillId="0" fontId="60" numFmtId="3" xfId="0" applyAlignment="1" applyFont="1" applyNumberFormat="1">
      <alignment horizontal="right" shrinkToFit="0" vertical="bottom" wrapText="1"/>
    </xf>
    <xf borderId="15" fillId="27" fontId="12" numFmtId="1" xfId="0" applyAlignment="1" applyBorder="1" applyFill="1" applyFont="1" applyNumberFormat="1">
      <alignment horizontal="right" shrinkToFit="0" vertical="bottom" wrapText="1"/>
    </xf>
    <xf borderId="0" fillId="6" fontId="1" numFmtId="0" xfId="0" applyAlignment="1" applyFill="1" applyFont="1">
      <alignment vertical="center"/>
    </xf>
    <xf borderId="0" fillId="12" fontId="1" numFmtId="0" xfId="0" applyAlignment="1" applyFill="1" applyFont="1">
      <alignment vertical="center"/>
    </xf>
    <xf borderId="1" fillId="11" fontId="11" numFmtId="0" xfId="0" applyAlignment="1" applyBorder="1" applyFill="1" applyFont="1">
      <alignment horizontal="left" shrinkToFit="0" vertical="center" wrapText="1"/>
    </xf>
    <xf borderId="2" fillId="11" fontId="11" numFmtId="0" xfId="0" applyAlignment="1" applyBorder="1" applyFill="1" applyFont="1">
      <alignment horizontal="center" shrinkToFit="0" vertical="center" wrapText="1"/>
    </xf>
    <xf borderId="0" fillId="3" fontId="11" numFmtId="0" xfId="0" applyAlignment="1" applyFill="1" applyFont="1">
      <alignment horizontal="center" shrinkToFit="0" vertical="center" wrapText="1"/>
    </xf>
    <xf borderId="1" fillId="28" fontId="8" numFmtId="0" xfId="0" applyAlignment="1" applyBorder="1" applyFill="1" applyFont="1">
      <alignment vertical="center"/>
    </xf>
    <xf borderId="1" fillId="28" fontId="8" numFmtId="0" xfId="0" applyAlignment="1" applyBorder="1" applyFill="1" applyFont="1">
      <alignment shrinkToFit="0" vertical="center" wrapText="1"/>
    </xf>
    <xf borderId="1" fillId="28" fontId="8" numFmtId="0" xfId="0" applyAlignment="1" applyBorder="1" applyFill="1" applyFont="1">
      <alignment horizontal="left" shrinkToFit="0" vertical="center" wrapText="1"/>
    </xf>
    <xf borderId="1" fillId="28" fontId="8" numFmtId="0" xfId="0" applyAlignment="1" applyBorder="1" applyFill="1" applyFont="1">
      <alignment horizontal="center" vertical="center"/>
    </xf>
    <xf borderId="2" fillId="28" fontId="8" numFmtId="0" xfId="0" applyAlignment="1" applyBorder="1" applyFill="1" applyFont="1">
      <alignment horizontal="right" vertical="center"/>
    </xf>
    <xf borderId="0" fillId="3" fontId="8" numFmtId="0" xfId="0" applyAlignment="1" applyFill="1" applyFont="1">
      <alignment horizontal="right" vertical="bottom"/>
    </xf>
    <xf borderId="0" fillId="3" fontId="12" numFmtId="0" xfId="0" applyAlignment="1" applyFill="1" applyFont="1">
      <alignment vertical="bottom"/>
    </xf>
    <xf borderId="1" fillId="28" fontId="8" numFmtId="171" xfId="0" applyAlignment="1" applyBorder="1" applyFill="1" applyFont="1" applyNumberFormat="1">
      <alignment horizontal="left" shrinkToFit="0" vertical="center" wrapText="1"/>
    </xf>
    <xf borderId="1" fillId="28" fontId="8" numFmtId="171" xfId="0" applyAlignment="1" applyBorder="1" applyFill="1" applyFont="1" applyNumberFormat="1">
      <alignment horizontal="center" vertical="center"/>
    </xf>
    <xf borderId="1" fillId="28" fontId="12" numFmtId="0" xfId="0" applyAlignment="1" applyBorder="1" applyFill="1" applyFont="1">
      <alignment shrinkToFit="0" vertical="center" wrapText="1"/>
    </xf>
    <xf borderId="1" fillId="25" fontId="9" numFmtId="167" xfId="0" applyAlignment="1" applyBorder="1" applyFill="1" applyFont="1" applyNumberFormat="1">
      <alignment horizontal="center"/>
    </xf>
    <xf borderId="1" fillId="28" fontId="8" numFmtId="0" xfId="0" applyAlignment="1" applyBorder="1" applyFill="1" applyFont="1">
      <alignment horizontal="right" vertical="center"/>
    </xf>
    <xf borderId="1" fillId="25" fontId="9" numFmtId="167" xfId="0" applyAlignment="1" applyBorder="1" applyFill="1" applyFont="1" applyNumberFormat="1">
      <alignment horizontal="center" vertical="center"/>
    </xf>
    <xf borderId="0" fillId="28" fontId="12" numFmtId="0" xfId="0" applyAlignment="1" applyFill="1" applyFont="1">
      <alignment shrinkToFit="0" vertical="center" wrapText="1"/>
    </xf>
    <xf borderId="1" fillId="8" fontId="8" numFmtId="0" xfId="0" applyAlignment="1" applyBorder="1" applyFill="1" applyFont="1">
      <alignment vertical="center"/>
    </xf>
    <xf borderId="1" fillId="8" fontId="8" numFmtId="0" xfId="0" applyAlignment="1" applyBorder="1" applyFill="1" applyFont="1">
      <alignment shrinkToFit="0" vertical="center" wrapText="1"/>
    </xf>
    <xf borderId="1" fillId="8" fontId="12" numFmtId="0" xfId="0" applyAlignment="1" applyBorder="1" applyFill="1" applyFont="1">
      <alignment horizontal="left" shrinkToFit="0" vertical="center" wrapText="1"/>
    </xf>
    <xf borderId="1" fillId="8" fontId="12" numFmtId="0" xfId="0" applyAlignment="1" applyBorder="1" applyFill="1" applyFont="1">
      <alignment horizontal="center" vertical="center"/>
    </xf>
    <xf borderId="1" fillId="8" fontId="8" numFmtId="0" xfId="0" applyAlignment="1" applyBorder="1" applyFill="1" applyFont="1">
      <alignment horizontal="center" vertical="center"/>
    </xf>
    <xf borderId="1" fillId="8" fontId="8" numFmtId="0" xfId="0" applyAlignment="1" applyBorder="1" applyFill="1" applyFont="1">
      <alignment horizontal="right" vertical="center"/>
    </xf>
    <xf borderId="1" fillId="29" fontId="8" numFmtId="0" xfId="0" applyAlignment="1" applyBorder="1" applyFill="1" applyFont="1">
      <alignment vertical="center"/>
    </xf>
    <xf borderId="1" fillId="29" fontId="8" numFmtId="0" xfId="0" applyAlignment="1" applyBorder="1" applyFill="1" applyFont="1">
      <alignment shrinkToFit="0" vertical="center" wrapText="1"/>
    </xf>
    <xf borderId="1" fillId="25" fontId="1" numFmtId="0" xfId="0" applyAlignment="1" applyBorder="1" applyFill="1" applyFont="1">
      <alignment readingOrder="0" shrinkToFit="0" vertical="center" wrapText="0"/>
    </xf>
    <xf borderId="1" fillId="29" fontId="8" numFmtId="0" xfId="0" applyAlignment="1" applyBorder="1" applyFill="1" applyFont="1">
      <alignment horizontal="left" shrinkToFit="0" vertical="center" wrapText="1"/>
    </xf>
    <xf borderId="1" fillId="29" fontId="8" numFmtId="0" xfId="0" applyAlignment="1" applyBorder="1" applyFill="1" applyFont="1">
      <alignment horizontal="center" vertical="center"/>
    </xf>
    <xf borderId="1" fillId="29" fontId="8" numFmtId="0" xfId="0" applyAlignment="1" applyBorder="1" applyFill="1" applyFont="1">
      <alignment horizontal="right" vertical="center"/>
    </xf>
    <xf borderId="0" fillId="0" fontId="57" numFmtId="0" xfId="0" applyAlignment="1" applyFont="1">
      <alignment readingOrder="0" vertical="bottom"/>
    </xf>
    <xf borderId="0" fillId="3" fontId="8" numFmtId="0" xfId="0" applyAlignment="1" applyFill="1" applyFont="1">
      <alignment horizontal="right" vertical="center"/>
    </xf>
    <xf borderId="1" fillId="29" fontId="8" numFmtId="0" xfId="0" applyAlignment="1" applyBorder="1" applyFill="1" applyFont="1">
      <alignment readingOrder="0" shrinkToFit="0" vertical="center" wrapText="0"/>
    </xf>
    <xf borderId="0" fillId="0" fontId="57" numFmtId="3" xfId="0" applyAlignment="1" applyFont="1" applyNumberFormat="1">
      <alignment horizontal="right" vertical="bottom"/>
    </xf>
    <xf borderId="1" fillId="29" fontId="8" numFmtId="0" xfId="0" applyAlignment="1" applyBorder="1" applyFill="1" applyFont="1">
      <alignment readingOrder="0" shrinkToFit="0" vertical="center" wrapText="1"/>
    </xf>
    <xf borderId="0" fillId="0" fontId="57" numFmtId="0" xfId="0" applyAlignment="1" applyFont="1">
      <alignment vertical="bottom"/>
    </xf>
    <xf borderId="1" fillId="29" fontId="8" numFmtId="0" xfId="0" applyAlignment="1" applyBorder="1" applyFill="1" applyFont="1">
      <alignment readingOrder="0" shrinkToFit="0" vertical="bottom" wrapText="1"/>
    </xf>
    <xf borderId="1" fillId="29" fontId="8" numFmtId="0" xfId="0" applyAlignment="1" applyBorder="1" applyFill="1" applyFont="1">
      <alignment horizontal="left" readingOrder="0" shrinkToFit="0" vertical="center" wrapText="1"/>
    </xf>
    <xf borderId="1" fillId="29" fontId="8" numFmtId="0" xfId="0" applyAlignment="1" applyBorder="1" applyFill="1" applyFont="1">
      <alignment horizontal="center" readingOrder="0" shrinkToFit="0" vertical="bottom" wrapText="0"/>
    </xf>
    <xf borderId="1" fillId="29" fontId="8" numFmtId="0" xfId="0" applyAlignment="1" applyBorder="1" applyFill="1" applyFont="1">
      <alignment horizontal="center" readingOrder="0" shrinkToFit="0" vertical="center" wrapText="0"/>
    </xf>
    <xf borderId="1" fillId="29" fontId="8" numFmtId="0" xfId="0" applyAlignment="1" applyBorder="1" applyFill="1" applyFont="1">
      <alignment horizontal="right" readingOrder="0" shrinkToFit="0" vertical="bottom" wrapText="0"/>
    </xf>
    <xf borderId="0" fillId="0" fontId="12" numFmtId="0" xfId="0" applyAlignment="1" applyFont="1">
      <alignment horizontal="left" readingOrder="0" shrinkToFit="0" vertical="center" wrapText="0"/>
    </xf>
    <xf borderId="1" fillId="25" fontId="5" numFmtId="164" xfId="0" applyAlignment="1" applyBorder="1" applyFill="1" applyFont="1" applyNumberFormat="1">
      <alignment horizontal="center" readingOrder="0"/>
    </xf>
    <xf borderId="1" fillId="29" fontId="8" numFmtId="165" xfId="0" applyAlignment="1" applyBorder="1" applyFill="1" applyFont="1" applyNumberFormat="1">
      <alignment readingOrder="0" shrinkToFit="0" vertical="bottom" wrapText="1"/>
    </xf>
    <xf borderId="16" fillId="3" fontId="12" numFmtId="0" xfId="0" applyAlignment="1" applyBorder="1" applyFill="1" applyFont="1">
      <alignment shrinkToFit="0" vertical="center" wrapText="0"/>
    </xf>
    <xf borderId="17" fillId="3" fontId="12" numFmtId="0" xfId="0" applyAlignment="1" applyBorder="1" applyFill="1" applyFont="1">
      <alignment shrinkToFit="0" vertical="center" wrapText="0"/>
    </xf>
    <xf borderId="1" fillId="29" fontId="12" numFmtId="0" xfId="0" applyAlignment="1" applyBorder="1" applyFill="1" applyFont="1">
      <alignment readingOrder="0" vertical="center"/>
    </xf>
    <xf borderId="1" fillId="29" fontId="12" numFmtId="0" xfId="0" applyAlignment="1" applyBorder="1" applyFill="1" applyFont="1">
      <alignment readingOrder="0" shrinkToFit="0" vertical="center" wrapText="1"/>
    </xf>
    <xf borderId="18" fillId="3" fontId="12" numFmtId="165" xfId="0" applyAlignment="1" applyBorder="1" applyFill="1" applyFont="1" applyNumberFormat="1">
      <alignment shrinkToFit="0" vertical="center" wrapText="0"/>
    </xf>
    <xf borderId="1" fillId="29" fontId="12" numFmtId="165" xfId="0" applyAlignment="1" applyBorder="1" applyFill="1" applyFont="1" applyNumberFormat="1">
      <alignment readingOrder="0" shrinkToFit="0" vertical="center" wrapText="1"/>
    </xf>
    <xf borderId="1" fillId="29" fontId="12" numFmtId="171" xfId="0" applyAlignment="1" applyBorder="1" applyFill="1" applyFont="1" applyNumberFormat="1">
      <alignment horizontal="left" readingOrder="0" shrinkToFit="0" vertical="center" wrapText="1"/>
    </xf>
    <xf borderId="1" fillId="3" fontId="12" numFmtId="165" xfId="0" applyAlignment="1" applyBorder="1" applyFill="1" applyFont="1" applyNumberFormat="1">
      <alignment horizontal="right" readingOrder="0" shrinkToFit="0" vertical="center" wrapText="0"/>
    </xf>
    <xf borderId="1" fillId="29" fontId="12" numFmtId="0" xfId="0" applyAlignment="1" applyBorder="1" applyFill="1" applyFont="1">
      <alignment horizontal="center" readingOrder="0" vertical="center"/>
    </xf>
    <xf borderId="1" fillId="29" fontId="12" numFmtId="0" xfId="0" applyAlignment="1" applyBorder="1" applyFill="1" applyFont="1">
      <alignment horizontal="right" readingOrder="0" vertical="center"/>
    </xf>
    <xf borderId="19" fillId="3" fontId="12" numFmtId="165" xfId="0" applyAlignment="1" applyBorder="1" applyFill="1" applyFont="1" applyNumberFormat="1">
      <alignment shrinkToFit="0" vertical="center" wrapText="0"/>
    </xf>
    <xf borderId="0" fillId="25" fontId="1" numFmtId="0" xfId="0" applyFill="1" applyFont="1"/>
    <xf borderId="1" fillId="30" fontId="61" numFmtId="164" xfId="0" applyAlignment="1" applyBorder="1" applyFill="1" applyFont="1" applyNumberFormat="1">
      <alignment horizontal="right" shrinkToFit="0" vertical="center" wrapText="0"/>
    </xf>
    <xf borderId="1" fillId="12" fontId="61" numFmtId="0" xfId="0" applyAlignment="1" applyBorder="1" applyFill="1" applyFont="1">
      <alignment shrinkToFit="0" vertical="center" wrapText="0"/>
    </xf>
    <xf borderId="1" fillId="30" fontId="61" numFmtId="165" xfId="0" applyAlignment="1" applyBorder="1" applyFill="1" applyFont="1" applyNumberFormat="1">
      <alignment shrinkToFit="0" vertical="center" wrapText="0"/>
    </xf>
    <xf borderId="1" fillId="25" fontId="1" numFmtId="165" xfId="0" applyAlignment="1" applyBorder="1" applyFill="1" applyFont="1" applyNumberFormat="1">
      <alignment horizontal="center" readingOrder="0" vertical="center"/>
    </xf>
    <xf borderId="1" fillId="30" fontId="12" numFmtId="165" xfId="0" applyAlignment="1" applyBorder="1" applyFill="1" applyFont="1" applyNumberFormat="1">
      <alignment shrinkToFit="0" vertical="center" wrapText="0"/>
    </xf>
    <xf borderId="1" fillId="29" fontId="12" numFmtId="0" xfId="0" applyAlignment="1" applyBorder="1" applyFill="1" applyFont="1">
      <alignment horizontal="left" readingOrder="0" shrinkToFit="0" vertical="center" wrapText="1"/>
    </xf>
    <xf borderId="1" fillId="30" fontId="61" numFmtId="165" xfId="0" applyAlignment="1" applyBorder="1" applyFill="1" applyFont="1" applyNumberFormat="1">
      <alignment horizontal="right" shrinkToFit="0" vertical="center" wrapText="0"/>
    </xf>
    <xf borderId="1" fillId="30" fontId="61" numFmtId="164" xfId="0" applyAlignment="1" applyBorder="1" applyFill="1" applyFont="1" applyNumberFormat="1">
      <alignment horizontal="right" readingOrder="0" shrinkToFit="0" vertical="center" wrapText="0"/>
    </xf>
    <xf borderId="1" fillId="29" fontId="8" numFmtId="0" xfId="0" applyAlignment="1" applyBorder="1" applyFill="1" applyFont="1">
      <alignment readingOrder="0" vertical="bottom"/>
    </xf>
    <xf borderId="1" fillId="12" fontId="61" numFmtId="0" xfId="0" applyAlignment="1" applyBorder="1" applyFill="1" applyFont="1">
      <alignment readingOrder="0" shrinkToFit="0" vertical="center" wrapText="0"/>
    </xf>
    <xf borderId="1" fillId="30" fontId="61" numFmtId="165" xfId="0" applyAlignment="1" applyBorder="1" applyFill="1" applyFont="1" applyNumberFormat="1">
      <alignment readingOrder="0" shrinkToFit="0" vertical="center" wrapText="0"/>
    </xf>
    <xf borderId="1" fillId="3" fontId="1" numFmtId="164" xfId="0" applyAlignment="1" applyBorder="1" applyFill="1" applyFont="1" applyNumberFormat="1">
      <alignment readingOrder="0"/>
    </xf>
    <xf borderId="1" fillId="29" fontId="8" numFmtId="165" xfId="0" applyAlignment="1" applyBorder="1" applyFill="1" applyFont="1" applyNumberFormat="1">
      <alignment readingOrder="0" vertical="bottom"/>
    </xf>
    <xf borderId="1" fillId="6" fontId="1" numFmtId="0" xfId="0" applyAlignment="1" applyBorder="1" applyFill="1" applyFont="1">
      <alignment readingOrder="0"/>
    </xf>
    <xf borderId="1" fillId="29" fontId="8" numFmtId="171" xfId="0" applyAlignment="1" applyBorder="1" applyFill="1" applyFont="1" applyNumberFormat="1">
      <alignment horizontal="left" readingOrder="0" shrinkToFit="0" vertical="bottom" wrapText="1"/>
    </xf>
    <xf borderId="1" fillId="29" fontId="8" numFmtId="0" xfId="0" applyAlignment="1" applyBorder="1" applyFill="1" applyFont="1">
      <alignment horizontal="center" readingOrder="0" vertical="bottom"/>
    </xf>
    <xf borderId="1" fillId="29" fontId="8" numFmtId="0" xfId="0" applyAlignment="1" applyBorder="1" applyFill="1" applyFont="1">
      <alignment horizontal="center" readingOrder="0" vertical="center"/>
    </xf>
    <xf borderId="1" fillId="30" fontId="61" numFmtId="165" xfId="0" applyAlignment="1" applyBorder="1" applyFill="1" applyFont="1" applyNumberFormat="1">
      <alignment shrinkToFit="0" vertical="center" wrapText="0"/>
    </xf>
    <xf borderId="1" fillId="29" fontId="8" numFmtId="0" xfId="0" applyAlignment="1" applyBorder="1" applyFill="1" applyFont="1">
      <alignment horizontal="right" readingOrder="0" vertical="bottom"/>
    </xf>
    <xf borderId="1" fillId="12" fontId="8" numFmtId="0" xfId="0" applyAlignment="1" applyBorder="1" applyFill="1" applyFont="1">
      <alignment readingOrder="0" shrinkToFit="0" vertical="bottom" wrapText="0"/>
    </xf>
    <xf borderId="1" fillId="29" fontId="8" numFmtId="0" xfId="0" applyAlignment="1" applyBorder="1" applyFill="1" applyFont="1">
      <alignment horizontal="left" readingOrder="0" shrinkToFit="0" vertical="bottom" wrapText="1"/>
    </xf>
    <xf borderId="6" fillId="29" fontId="8" numFmtId="0" xfId="0" applyAlignment="1" applyBorder="1" applyFill="1" applyFont="1">
      <alignment readingOrder="0" vertical="bottom"/>
    </xf>
    <xf borderId="20" fillId="29" fontId="8" numFmtId="0" xfId="0" applyAlignment="1" applyBorder="1" applyFill="1" applyFont="1">
      <alignment readingOrder="0" shrinkToFit="0" vertical="bottom" wrapText="1"/>
    </xf>
    <xf borderId="20" fillId="29" fontId="8" numFmtId="0" xfId="0" applyAlignment="1" applyBorder="1" applyFill="1" applyFont="1">
      <alignment readingOrder="0" vertical="bottom"/>
    </xf>
    <xf borderId="20" fillId="29" fontId="8" numFmtId="165" xfId="0" applyAlignment="1" applyBorder="1" applyFill="1" applyFont="1" applyNumberFormat="1">
      <alignment readingOrder="0" vertical="bottom"/>
    </xf>
    <xf borderId="20" fillId="29" fontId="8" numFmtId="0" xfId="0" applyAlignment="1" applyBorder="1" applyFill="1" applyFont="1">
      <alignment horizontal="left" readingOrder="0" shrinkToFit="0" vertical="bottom" wrapText="1"/>
    </xf>
    <xf borderId="20" fillId="29" fontId="8" numFmtId="0" xfId="0" applyAlignment="1" applyBorder="1" applyFill="1" applyFont="1">
      <alignment horizontal="center" readingOrder="0" vertical="bottom"/>
    </xf>
    <xf borderId="20" fillId="29" fontId="8" numFmtId="0" xfId="0" applyAlignment="1" applyBorder="1" applyFill="1" applyFont="1">
      <alignment horizontal="center" readingOrder="0" vertical="center"/>
    </xf>
    <xf borderId="20" fillId="29" fontId="8" numFmtId="0" xfId="0" applyAlignment="1" applyBorder="1" applyFill="1" applyFont="1">
      <alignment horizontal="right" readingOrder="0" vertical="bottom"/>
    </xf>
    <xf borderId="1" fillId="29" fontId="8" numFmtId="165" xfId="0" applyAlignment="1" applyBorder="1" applyFill="1" applyFont="1" applyNumberFormat="1">
      <alignment horizontal="right" readingOrder="0" vertical="bottom"/>
    </xf>
    <xf borderId="0" fillId="3" fontId="62" numFmtId="0" xfId="0" applyAlignment="1" applyFill="1" applyFont="1">
      <alignment readingOrder="0"/>
    </xf>
    <xf borderId="0" fillId="0" fontId="1" numFmtId="165" xfId="0" applyAlignment="1" applyFont="1" applyNumberFormat="1">
      <alignment readingOrder="0"/>
    </xf>
    <xf borderId="0" fillId="30" fontId="61" numFmtId="164" xfId="0" applyAlignment="1" applyFill="1" applyFont="1" applyNumberFormat="1">
      <alignment horizontal="right" readingOrder="0" shrinkToFit="0" vertical="center" wrapText="0"/>
    </xf>
    <xf borderId="0" fillId="3" fontId="12" numFmtId="0" xfId="0" applyAlignment="1" applyFill="1" applyFont="1">
      <alignment vertical="center"/>
    </xf>
    <xf borderId="0" fillId="3" fontId="57" numFmtId="0" xfId="0" applyAlignment="1" applyFill="1" applyFont="1">
      <alignment vertical="center"/>
    </xf>
    <xf borderId="0" fillId="3" fontId="12" numFmtId="0" xfId="0" applyAlignment="1" applyFill="1" applyFont="1">
      <alignment shrinkToFit="0" vertical="bottom" wrapText="1"/>
    </xf>
    <xf borderId="1" fillId="12" fontId="8" numFmtId="0" xfId="0" applyAlignment="1" applyBorder="1" applyFill="1" applyFont="1">
      <alignment shrinkToFit="0" vertical="center" wrapText="0"/>
    </xf>
    <xf borderId="0" fillId="3" fontId="57" numFmtId="0" xfId="0" applyAlignment="1" applyFill="1" applyFont="1">
      <alignment shrinkToFit="0" vertical="bottom" wrapText="1"/>
    </xf>
    <xf borderId="0" fillId="3" fontId="12" numFmtId="0" xfId="0" applyAlignment="1" applyFill="1" applyFont="1">
      <alignment horizontal="left" shrinkToFit="0" vertical="center" wrapText="1"/>
    </xf>
    <xf borderId="0" fillId="3" fontId="12" numFmtId="0" xfId="0" applyAlignment="1" applyFill="1" applyFont="1">
      <alignment horizontal="center" vertical="center"/>
    </xf>
    <xf borderId="0" fillId="30" fontId="12" numFmtId="165" xfId="0" applyAlignment="1" applyFill="1" applyFont="1" applyNumberFormat="1">
      <alignment shrinkToFit="0" vertical="center" wrapText="0"/>
    </xf>
    <xf borderId="0" fillId="3" fontId="57" numFmtId="0" xfId="0" applyAlignment="1" applyFill="1" applyFont="1">
      <alignment horizontal="center" shrinkToFit="0" vertical="bottom" wrapText="1"/>
    </xf>
    <xf borderId="0" fillId="3" fontId="57" numFmtId="167" xfId="0" applyAlignment="1" applyFill="1" applyFont="1" applyNumberFormat="1">
      <alignment horizontal="center" shrinkToFit="0" vertical="bottom" wrapText="1"/>
    </xf>
    <xf borderId="0" fillId="3" fontId="57" numFmtId="165" xfId="0" applyAlignment="1" applyFill="1" applyFont="1" applyNumberFormat="1">
      <alignment horizontal="right" shrinkToFit="0" vertical="bottom" wrapText="1"/>
    </xf>
    <xf borderId="2" fillId="0" fontId="57" numFmtId="0" xfId="0" applyAlignment="1" applyBorder="1" applyFont="1">
      <alignment vertical="center"/>
    </xf>
    <xf borderId="0" fillId="7" fontId="57" numFmtId="0" xfId="0" applyAlignment="1" applyFill="1" applyFont="1">
      <alignment horizontal="center" shrinkToFit="0" vertical="bottom" wrapText="1"/>
    </xf>
    <xf borderId="2" fillId="3" fontId="57" numFmtId="0" xfId="0" applyAlignment="1" applyBorder="1" applyFill="1" applyFont="1">
      <alignment readingOrder="0" vertical="center"/>
    </xf>
    <xf borderId="1" fillId="3" fontId="8" numFmtId="0" xfId="0" applyAlignment="1" applyBorder="1" applyFill="1" applyFont="1">
      <alignment shrinkToFit="0" wrapText="1"/>
    </xf>
    <xf borderId="1" fillId="3" fontId="8" numFmtId="0" xfId="0" applyBorder="1" applyFill="1" applyFont="1"/>
    <xf borderId="0" fillId="3" fontId="57" numFmtId="0" xfId="0" applyAlignment="1" applyFill="1" applyFont="1">
      <alignment horizontal="center" readingOrder="0" shrinkToFit="0" vertical="bottom" wrapText="1"/>
    </xf>
    <xf borderId="2" fillId="31" fontId="12" numFmtId="0" xfId="0" applyAlignment="1" applyBorder="1" applyFill="1" applyFont="1">
      <alignment vertical="center"/>
    </xf>
    <xf borderId="1" fillId="0" fontId="12" numFmtId="165" xfId="0" applyAlignment="1" applyBorder="1" applyFont="1" applyNumberFormat="1">
      <alignment horizontal="right" shrinkToFit="0" vertical="bottom" wrapText="1"/>
    </xf>
    <xf borderId="1" fillId="10" fontId="5" numFmtId="165" xfId="0" applyAlignment="1" applyBorder="1" applyFill="1" applyFont="1" applyNumberFormat="1">
      <alignment horizontal="center" readingOrder="0" vertical="center"/>
    </xf>
    <xf borderId="0" fillId="0" fontId="12" numFmtId="0" xfId="0" applyAlignment="1" applyFont="1">
      <alignment horizontal="left" readingOrder="0" shrinkToFit="0" vertical="center" wrapText="1"/>
    </xf>
    <xf borderId="1" fillId="29" fontId="8" numFmtId="171" xfId="0" applyAlignment="1" applyBorder="1" applyFill="1" applyFont="1" applyNumberFormat="1">
      <alignment horizontal="left" readingOrder="0" shrinkToFit="0" vertical="center" wrapText="0"/>
    </xf>
    <xf borderId="1" fillId="29" fontId="8" numFmtId="165" xfId="0" applyAlignment="1" applyBorder="1" applyFill="1" applyFont="1" applyNumberFormat="1">
      <alignment horizontal="right" readingOrder="0" shrinkToFit="0" vertical="center" wrapText="0"/>
    </xf>
    <xf borderId="1" fillId="0" fontId="1" numFmtId="177" xfId="0" applyAlignment="1" applyBorder="1" applyFont="1" applyNumberFormat="1">
      <alignment readingOrder="0" vertical="center"/>
    </xf>
    <xf borderId="2" fillId="14" fontId="57" numFmtId="0" xfId="0" applyAlignment="1" applyBorder="1" applyFill="1" applyFont="1">
      <alignment horizontal="center" shrinkToFit="0" vertical="bottom" wrapText="1"/>
    </xf>
    <xf borderId="1" fillId="29" fontId="8" numFmtId="0" xfId="0" applyAlignment="1" applyBorder="1" applyFill="1" applyFont="1">
      <alignment horizontal="left" readingOrder="0" shrinkToFit="0" vertical="center" wrapText="0"/>
    </xf>
    <xf borderId="1" fillId="29" fontId="8" numFmtId="0" xfId="0" applyAlignment="1" applyBorder="1" applyFill="1" applyFont="1">
      <alignment readingOrder="0" shrinkToFit="0" vertical="bottom" wrapText="0"/>
    </xf>
    <xf borderId="1" fillId="29" fontId="8" numFmtId="171" xfId="0" applyAlignment="1" applyBorder="1" applyFill="1" applyFont="1" applyNumberFormat="1">
      <alignment horizontal="left" readingOrder="0" shrinkToFit="0" vertical="bottom" wrapText="0"/>
    </xf>
    <xf borderId="1" fillId="10" fontId="8" numFmtId="165" xfId="0" applyAlignment="1" applyBorder="1" applyFill="1" applyFont="1" applyNumberFormat="1">
      <alignment horizontal="right" readingOrder="0" shrinkToFit="0" vertical="center" wrapText="0"/>
    </xf>
    <xf borderId="2" fillId="0" fontId="57" numFmtId="0" xfId="0" applyAlignment="1" applyBorder="1" applyFont="1">
      <alignment readingOrder="0" vertical="center"/>
    </xf>
    <xf borderId="1" fillId="12" fontId="1" numFmtId="167" xfId="0" applyAlignment="1" applyBorder="1" applyFill="1" applyFont="1" applyNumberFormat="1">
      <alignment horizontal="center" readingOrder="0" shrinkToFit="0" vertical="center" wrapText="1"/>
    </xf>
    <xf borderId="1" fillId="7" fontId="1" numFmtId="167" xfId="0" applyAlignment="1" applyBorder="1" applyFill="1" applyFont="1" applyNumberFormat="1">
      <alignment horizontal="center" shrinkToFit="0" vertical="center" wrapText="1"/>
    </xf>
    <xf borderId="0" fillId="0" fontId="1" numFmtId="0" xfId="0" applyAlignment="1" applyFont="1">
      <alignment horizontal="right" shrinkToFit="0" vertical="center" wrapText="1"/>
    </xf>
    <xf borderId="2" fillId="19" fontId="12" numFmtId="0" xfId="0" applyAlignment="1" applyBorder="1" applyFill="1" applyFont="1">
      <alignment readingOrder="0" vertical="center"/>
    </xf>
    <xf borderId="1" fillId="0" fontId="12" numFmtId="165" xfId="0" applyAlignment="1" applyBorder="1" applyFont="1" applyNumberFormat="1">
      <alignment horizontal="right" readingOrder="0" shrinkToFit="0" vertical="bottom" wrapText="1"/>
    </xf>
    <xf borderId="1" fillId="12" fontId="63" numFmtId="0" xfId="0" applyAlignment="1" applyBorder="1" applyFill="1" applyFont="1">
      <alignment horizontal="center" readingOrder="0" shrinkToFit="0" vertical="center" wrapText="0"/>
    </xf>
    <xf borderId="1" fillId="12" fontId="1" numFmtId="0" xfId="0" applyAlignment="1" applyBorder="1" applyFill="1" applyFont="1">
      <alignment horizontal="center" shrinkToFit="0" vertical="center" wrapText="1"/>
    </xf>
    <xf borderId="1" fillId="12" fontId="1" numFmtId="165" xfId="0" applyAlignment="1" applyBorder="1" applyFill="1" applyFont="1" applyNumberFormat="1">
      <alignment horizontal="center" readingOrder="0" shrinkToFit="0" vertical="center" wrapText="1"/>
    </xf>
    <xf borderId="1" fillId="7" fontId="1" numFmtId="165" xfId="0" applyAlignment="1" applyBorder="1" applyFill="1" applyFont="1" applyNumberFormat="1">
      <alignment horizontal="center" readingOrder="0" shrinkToFit="0" vertical="center" wrapText="1"/>
    </xf>
    <xf borderId="1" fillId="7" fontId="1" numFmtId="165" xfId="0" applyAlignment="1" applyBorder="1" applyFill="1" applyFont="1" applyNumberFormat="1">
      <alignment horizontal="center" shrinkToFit="0" vertical="center" wrapText="1"/>
    </xf>
    <xf borderId="1" fillId="19" fontId="8" numFmtId="0" xfId="0" applyAlignment="1" applyBorder="1" applyFill="1" applyFont="1">
      <alignment readingOrder="0" shrinkToFit="0" vertical="center" wrapText="0"/>
    </xf>
    <xf borderId="1" fillId="19" fontId="8" numFmtId="0" xfId="0" applyAlignment="1" applyBorder="1" applyFill="1" applyFont="1">
      <alignment readingOrder="0" shrinkToFit="0" vertical="center" wrapText="1"/>
    </xf>
    <xf borderId="1" fillId="19" fontId="8" numFmtId="0" xfId="0" applyAlignment="1" applyBorder="1" applyFill="1" applyFont="1">
      <alignment readingOrder="0" shrinkToFit="0" vertical="bottom" wrapText="0"/>
    </xf>
    <xf borderId="1" fillId="19" fontId="8" numFmtId="171" xfId="0" applyAlignment="1" applyBorder="1" applyFill="1" applyFont="1" applyNumberFormat="1">
      <alignment horizontal="left" readingOrder="0" shrinkToFit="0" vertical="bottom" wrapText="0"/>
    </xf>
    <xf borderId="1" fillId="19" fontId="8" numFmtId="0" xfId="0" applyAlignment="1" applyBorder="1" applyFill="1" applyFont="1">
      <alignment horizontal="center" readingOrder="0" shrinkToFit="0" vertical="center" wrapText="0"/>
    </xf>
    <xf borderId="1" fillId="19" fontId="8" numFmtId="165" xfId="0" applyAlignment="1" applyBorder="1" applyFill="1" applyFont="1" applyNumberFormat="1">
      <alignment horizontal="right" readingOrder="0" shrinkToFit="0" vertical="center" wrapText="0"/>
    </xf>
    <xf borderId="1" fillId="3" fontId="1" numFmtId="167" xfId="0" applyAlignment="1" applyBorder="1" applyFill="1" applyFont="1" applyNumberFormat="1">
      <alignment horizontal="center" readingOrder="0"/>
    </xf>
    <xf borderId="1" fillId="7" fontId="1" numFmtId="167" xfId="0" applyAlignment="1" applyBorder="1" applyFill="1" applyFont="1" applyNumberFormat="1">
      <alignment horizontal="center" shrinkToFit="0" vertical="center" wrapText="1"/>
    </xf>
    <xf borderId="1" fillId="19" fontId="8" numFmtId="0" xfId="0" applyAlignment="1" applyBorder="1" applyFill="1" applyFont="1">
      <alignment horizontal="left" readingOrder="0" shrinkToFit="0" vertical="bottom" wrapText="0"/>
    </xf>
    <xf borderId="0" fillId="32" fontId="1" numFmtId="0" xfId="0" applyAlignment="1" applyFill="1" applyFont="1">
      <alignment horizontal="center" readingOrder="0" shrinkToFit="0" wrapText="1"/>
    </xf>
    <xf borderId="0" fillId="16" fontId="1" numFmtId="0" xfId="0" applyFill="1" applyFont="1"/>
    <xf borderId="0" fillId="16" fontId="1" numFmtId="0" xfId="0" applyAlignment="1" applyFill="1" applyFont="1">
      <alignment readingOrder="0"/>
    </xf>
    <xf borderId="1" fillId="19" fontId="1" numFmtId="0" xfId="0" applyAlignment="1" applyBorder="1" applyFill="1" applyFont="1">
      <alignment horizontal="center" readingOrder="0" vertical="center"/>
    </xf>
    <xf borderId="1" fillId="19" fontId="8" numFmtId="170" xfId="0" applyAlignment="1" applyBorder="1" applyFill="1" applyFont="1" applyNumberFormat="1">
      <alignment horizontal="left" readingOrder="0" shrinkToFit="0" vertical="bottom" wrapText="0"/>
    </xf>
    <xf borderId="4" fillId="3" fontId="2" numFmtId="0" xfId="0" applyAlignment="1" applyBorder="1" applyFill="1" applyFont="1">
      <alignment horizontal="center" readingOrder="0" shrinkToFit="0" vertical="bottom" wrapText="1"/>
    </xf>
    <xf borderId="1" fillId="12" fontId="1" numFmtId="169" xfId="0" applyAlignment="1" applyBorder="1" applyFill="1" applyFont="1" applyNumberFormat="1">
      <alignment horizontal="center" readingOrder="0" vertical="center"/>
    </xf>
    <xf borderId="1" fillId="7" fontId="1" numFmtId="0" xfId="0" applyAlignment="1" applyBorder="1" applyFill="1" applyFont="1">
      <alignment horizontal="center" vertical="center"/>
    </xf>
    <xf borderId="1" fillId="0" fontId="1" numFmtId="167" xfId="0" applyAlignment="1" applyBorder="1" applyFont="1" applyNumberFormat="1">
      <alignment horizontal="right" readingOrder="0"/>
    </xf>
    <xf borderId="1" fillId="19" fontId="8" numFmtId="0" xfId="0" applyAlignment="1" applyBorder="1" applyFill="1" applyFont="1">
      <alignment readingOrder="0" shrinkToFit="0" vertical="bottom" wrapText="0"/>
    </xf>
    <xf borderId="4" fillId="3" fontId="2" numFmtId="0" xfId="0" applyAlignment="1" applyBorder="1" applyFill="1" applyFont="1">
      <alignment horizontal="center" shrinkToFit="0" vertical="bottom" wrapText="1"/>
    </xf>
    <xf borderId="1" fillId="3" fontId="57" numFmtId="165" xfId="0" applyAlignment="1" applyBorder="1" applyFill="1" applyFont="1" applyNumberFormat="1">
      <alignment horizontal="right" readingOrder="0" shrinkToFit="0" vertical="bottom" wrapText="1"/>
    </xf>
    <xf borderId="0" fillId="0" fontId="5" numFmtId="0" xfId="0" applyAlignment="1" applyFont="1">
      <alignment horizontal="left" readingOrder="0" shrinkToFit="0" vertical="center" wrapText="1"/>
    </xf>
    <xf borderId="1" fillId="33" fontId="8" numFmtId="0" xfId="0" applyAlignment="1" applyBorder="1" applyFill="1" applyFont="1">
      <alignment readingOrder="0" shrinkToFit="0" vertical="bottom" wrapText="0"/>
    </xf>
    <xf borderId="1" fillId="33" fontId="1" numFmtId="0" xfId="0" applyAlignment="1" applyBorder="1" applyFill="1" applyFont="1">
      <alignment readingOrder="0" vertical="center"/>
    </xf>
    <xf borderId="1" fillId="33" fontId="8" numFmtId="171" xfId="0" applyAlignment="1" applyBorder="1" applyFill="1" applyFont="1" applyNumberFormat="1">
      <alignment horizontal="left" readingOrder="0" shrinkToFit="0" vertical="bottom" wrapText="0"/>
    </xf>
    <xf borderId="1" fillId="33" fontId="1" numFmtId="0" xfId="0" applyAlignment="1" applyBorder="1" applyFill="1" applyFont="1">
      <alignment horizontal="center" readingOrder="0" vertical="center"/>
    </xf>
    <xf borderId="1" fillId="33" fontId="8" numFmtId="165" xfId="0" applyAlignment="1" applyBorder="1" applyFill="1" applyFont="1" applyNumberFormat="1">
      <alignment horizontal="right" readingOrder="0" shrinkToFit="0" vertical="center" wrapText="0"/>
    </xf>
    <xf borderId="0" fillId="33" fontId="1" numFmtId="0" xfId="0" applyAlignment="1" applyFill="1" applyFont="1">
      <alignment readingOrder="0"/>
    </xf>
    <xf borderId="0" fillId="33" fontId="1" numFmtId="0" xfId="0" applyFill="1" applyFont="1"/>
    <xf borderId="1" fillId="34" fontId="8" numFmtId="0" xfId="0" applyAlignment="1" applyBorder="1" applyFill="1" applyFont="1">
      <alignment readingOrder="0" shrinkToFit="0" vertical="bottom" wrapText="0"/>
    </xf>
    <xf borderId="1" fillId="34" fontId="8" numFmtId="0" xfId="0" applyAlignment="1" applyBorder="1" applyFill="1" applyFont="1">
      <alignment horizontal="left" readingOrder="0" shrinkToFit="0" vertical="bottom" wrapText="0"/>
    </xf>
    <xf borderId="1" fillId="34" fontId="8" numFmtId="0" xfId="0" applyAlignment="1" applyBorder="1" applyFill="1" applyFont="1">
      <alignment horizontal="center" readingOrder="0" shrinkToFit="0" vertical="bottom" wrapText="0"/>
    </xf>
    <xf borderId="1" fillId="34" fontId="8" numFmtId="165" xfId="0" applyAlignment="1" applyBorder="1" applyFill="1" applyFont="1" applyNumberFormat="1">
      <alignment horizontal="right" readingOrder="0" shrinkToFit="0" vertical="bottom" wrapText="0"/>
    </xf>
    <xf borderId="1" fillId="3" fontId="58" numFmtId="0" xfId="0" applyAlignment="1" applyBorder="1" applyFill="1" applyFont="1">
      <alignment horizontal="center" readingOrder="0" vertical="center"/>
    </xf>
    <xf borderId="0" fillId="34" fontId="1" numFmtId="0" xfId="0" applyFill="1" applyFont="1"/>
    <xf borderId="0" fillId="3" fontId="58" numFmtId="0" xfId="0" applyAlignment="1" applyFill="1" applyFont="1">
      <alignment horizontal="center" readingOrder="0" vertical="center"/>
    </xf>
    <xf borderId="1" fillId="34" fontId="8" numFmtId="171" xfId="0" applyAlignment="1" applyBorder="1" applyFill="1" applyFont="1" applyNumberFormat="1">
      <alignment horizontal="left" readingOrder="0" shrinkToFit="0" vertical="bottom" wrapText="0"/>
    </xf>
    <xf borderId="5" fillId="12" fontId="1" numFmtId="164" xfId="0" applyAlignment="1" applyBorder="1" applyFill="1" applyFont="1" applyNumberFormat="1">
      <alignment horizontal="center" readingOrder="0" vertical="center"/>
    </xf>
    <xf borderId="1" fillId="34" fontId="8" numFmtId="0" xfId="0" applyAlignment="1" applyBorder="1" applyFill="1" applyFont="1">
      <alignment shrinkToFit="0" vertical="center" wrapText="1"/>
    </xf>
    <xf borderId="1" fillId="34" fontId="8" numFmtId="0" xfId="0" applyAlignment="1" applyBorder="1" applyFill="1" applyFont="1">
      <alignment readingOrder="0" shrinkToFit="0" vertical="center" wrapText="1"/>
    </xf>
    <xf borderId="1" fillId="34" fontId="8" numFmtId="0" xfId="0" applyAlignment="1" applyBorder="1" applyFill="1" applyFont="1">
      <alignment horizontal="center" shrinkToFit="0" vertical="center" wrapText="1"/>
    </xf>
    <xf borderId="1" fillId="34" fontId="8" numFmtId="0" xfId="0" applyAlignment="1" applyBorder="1" applyFill="1" applyFont="1">
      <alignment horizontal="right" shrinkToFit="0" vertical="center" wrapText="1"/>
    </xf>
    <xf borderId="1" fillId="23" fontId="64" numFmtId="0" xfId="0" applyAlignment="1" applyBorder="1" applyFill="1" applyFont="1">
      <alignment horizontal="center" readingOrder="0" vertical="center"/>
    </xf>
    <xf borderId="0" fillId="10" fontId="1" numFmtId="0" xfId="0" applyAlignment="1" applyFill="1" applyFont="1">
      <alignment readingOrder="0" shrinkToFit="0" wrapText="1"/>
    </xf>
    <xf borderId="0" fillId="3" fontId="58" numFmtId="0" xfId="0" applyAlignment="1" applyFill="1" applyFont="1">
      <alignment vertical="center"/>
    </xf>
    <xf borderId="1" fillId="10" fontId="8" numFmtId="0" xfId="0" applyAlignment="1" applyBorder="1" applyFill="1" applyFont="1">
      <alignment shrinkToFit="0" vertical="center" wrapText="1"/>
    </xf>
    <xf borderId="1" fillId="10" fontId="8" numFmtId="0" xfId="0" applyAlignment="1" applyBorder="1" applyFill="1" applyFont="1">
      <alignment readingOrder="0" shrinkToFit="0" vertical="center" wrapText="1"/>
    </xf>
    <xf borderId="1" fillId="10" fontId="8" numFmtId="0" xfId="0" applyAlignment="1" applyBorder="1" applyFill="1" applyFont="1">
      <alignment horizontal="center" shrinkToFit="0" vertical="center" wrapText="1"/>
    </xf>
    <xf borderId="1" fillId="10" fontId="8" numFmtId="0" xfId="0" applyAlignment="1" applyBorder="1" applyFill="1" applyFont="1">
      <alignment horizontal="right" shrinkToFit="0" vertical="center" wrapText="1"/>
    </xf>
    <xf borderId="0" fillId="23" fontId="65" numFmtId="0" xfId="0" applyAlignment="1" applyFill="1" applyFont="1">
      <alignment horizontal="center" readingOrder="0" vertical="center"/>
    </xf>
    <xf borderId="0" fillId="3" fontId="1" numFmtId="0" xfId="0" applyAlignment="1" applyFill="1" applyFont="1">
      <alignment horizontal="left" shrinkToFit="0" vertical="center" wrapText="1"/>
    </xf>
    <xf borderId="2" fillId="34" fontId="12" numFmtId="0" xfId="0" applyAlignment="1" applyBorder="1" applyFill="1" applyFont="1">
      <alignment readingOrder="0" vertical="center"/>
    </xf>
    <xf borderId="1" fillId="34" fontId="8" numFmtId="0" xfId="0" applyAlignment="1" applyBorder="1" applyFill="1" applyFont="1">
      <alignment readingOrder="0" shrinkToFit="0" vertical="center" wrapText="0"/>
    </xf>
    <xf borderId="1" fillId="34" fontId="8" numFmtId="171" xfId="0" applyAlignment="1" applyBorder="1" applyFill="1" applyFont="1" applyNumberFormat="1">
      <alignment horizontal="left" readingOrder="0" shrinkToFit="0" vertical="center" wrapText="0"/>
    </xf>
    <xf borderId="1" fillId="34" fontId="8" numFmtId="0" xfId="0" applyAlignment="1" applyBorder="1" applyFill="1" applyFont="1">
      <alignment horizontal="center" readingOrder="0" shrinkToFit="0" vertical="center" wrapText="0"/>
    </xf>
    <xf borderId="1" fillId="35" fontId="1" numFmtId="164" xfId="0" applyAlignment="1" applyBorder="1" applyFill="1" applyFont="1" applyNumberFormat="1">
      <alignment horizontal="center" readingOrder="0" vertical="center"/>
    </xf>
    <xf borderId="1" fillId="34" fontId="8" numFmtId="165" xfId="0" applyAlignment="1" applyBorder="1" applyFill="1" applyFont="1" applyNumberFormat="1">
      <alignment horizontal="center" readingOrder="0" shrinkToFit="0" vertical="center" wrapText="0"/>
    </xf>
    <xf borderId="1" fillId="35" fontId="1" numFmtId="0" xfId="0" applyAlignment="1" applyBorder="1" applyFill="1" applyFont="1">
      <alignment horizontal="center" readingOrder="0" vertical="center"/>
    </xf>
    <xf borderId="1" fillId="35" fontId="1" numFmtId="167" xfId="0" applyAlignment="1" applyBorder="1" applyFill="1" applyFont="1" applyNumberFormat="1">
      <alignment horizontal="center" readingOrder="0" vertical="center"/>
    </xf>
    <xf borderId="1" fillId="34" fontId="8" numFmtId="0" xfId="0" applyAlignment="1" applyBorder="1" applyFill="1" applyFont="1">
      <alignment horizontal="left" readingOrder="0" shrinkToFit="0" vertical="center" wrapText="0"/>
    </xf>
    <xf borderId="1" fillId="0" fontId="8" numFmtId="0" xfId="0" applyAlignment="1" applyBorder="1" applyFont="1">
      <alignment readingOrder="0" shrinkToFit="0" vertical="center" wrapText="0"/>
    </xf>
    <xf borderId="1" fillId="35" fontId="66" numFmtId="0" xfId="0" applyAlignment="1" applyBorder="1" applyFill="1" applyFont="1">
      <alignment horizontal="center" readingOrder="0" vertical="center"/>
    </xf>
    <xf borderId="1" fillId="0" fontId="8" numFmtId="171" xfId="0" applyAlignment="1" applyBorder="1" applyFont="1" applyNumberFormat="1">
      <alignment horizontal="left" readingOrder="0" shrinkToFit="0" vertical="center" wrapText="0"/>
    </xf>
    <xf borderId="1" fillId="0" fontId="8" numFmtId="0" xfId="0" applyAlignment="1" applyBorder="1" applyFont="1">
      <alignment horizontal="center" readingOrder="0" shrinkToFit="0" vertical="center" wrapText="0"/>
    </xf>
    <xf borderId="1" fillId="0" fontId="8" numFmtId="165" xfId="0" applyAlignment="1" applyBorder="1" applyFont="1" applyNumberFormat="1">
      <alignment horizontal="center" readingOrder="0" shrinkToFit="0" vertical="center" wrapText="0"/>
    </xf>
    <xf borderId="1" fillId="35" fontId="1" numFmtId="0" xfId="0" applyAlignment="1" applyBorder="1" applyFill="1" applyFont="1">
      <alignment horizontal="center" vertical="center"/>
    </xf>
    <xf borderId="1" fillId="29" fontId="8" numFmtId="165" xfId="0" applyAlignment="1" applyBorder="1" applyFill="1" applyFont="1" applyNumberFormat="1">
      <alignment horizontal="center" readingOrder="0" shrinkToFit="0" vertical="center" wrapText="0"/>
    </xf>
    <xf borderId="1" fillId="31" fontId="8" numFmtId="0" xfId="0" applyAlignment="1" applyBorder="1" applyFill="1" applyFont="1">
      <alignment vertical="center"/>
    </xf>
    <xf borderId="1" fillId="31" fontId="8" numFmtId="0" xfId="0" applyAlignment="1" applyBorder="1" applyFill="1" applyFont="1">
      <alignment shrinkToFit="0" vertical="center" wrapText="1"/>
    </xf>
    <xf borderId="1" fillId="31" fontId="8" numFmtId="0" xfId="0" applyAlignment="1" applyBorder="1" applyFill="1" applyFont="1">
      <alignment horizontal="center" readingOrder="0" shrinkToFit="0" vertical="center" wrapText="0"/>
    </xf>
    <xf borderId="1" fillId="31" fontId="8" numFmtId="0" xfId="0" applyAlignment="1" applyBorder="1" applyFill="1" applyFont="1">
      <alignment horizontal="center" vertical="center"/>
    </xf>
    <xf borderId="1" fillId="31" fontId="8" numFmtId="165" xfId="0" applyAlignment="1" applyBorder="1" applyFill="1" applyFont="1" applyNumberFormat="1">
      <alignment horizontal="center" vertical="center"/>
    </xf>
    <xf borderId="1" fillId="29" fontId="8" numFmtId="165" xfId="0" applyAlignment="1" applyBorder="1" applyFill="1" applyFont="1" applyNumberFormat="1">
      <alignment horizontal="center" vertical="center"/>
    </xf>
    <xf borderId="1" fillId="35" fontId="1" numFmtId="164" xfId="0" applyAlignment="1" applyBorder="1" applyFill="1" applyFont="1" applyNumberFormat="1">
      <alignment horizontal="center" readingOrder="0"/>
    </xf>
    <xf borderId="1" fillId="35" fontId="1" numFmtId="0" xfId="0" applyAlignment="1" applyBorder="1" applyFill="1" applyFont="1">
      <alignment readingOrder="0"/>
    </xf>
    <xf borderId="2" fillId="31" fontId="57" numFmtId="0" xfId="0" applyAlignment="1" applyBorder="1" applyFill="1" applyFont="1">
      <alignment readingOrder="0" vertical="center"/>
    </xf>
    <xf borderId="1" fillId="35" fontId="67" numFmtId="0" xfId="0" applyAlignment="1" applyBorder="1" applyFill="1" applyFont="1">
      <alignment readingOrder="0"/>
    </xf>
    <xf borderId="1" fillId="35" fontId="5" numFmtId="164" xfId="0" applyAlignment="1" applyBorder="1" applyFill="1" applyFont="1" applyNumberFormat="1">
      <alignment horizontal="center" readingOrder="0" vertical="center"/>
    </xf>
    <xf borderId="1" fillId="31" fontId="1" numFmtId="0" xfId="0" applyAlignment="1" applyBorder="1" applyFill="1" applyFont="1">
      <alignment vertical="center"/>
    </xf>
    <xf borderId="1" fillId="31" fontId="8" numFmtId="0" xfId="0" applyAlignment="1" applyBorder="1" applyFill="1" applyFont="1">
      <alignment horizontal="center"/>
    </xf>
    <xf borderId="1" fillId="29" fontId="1" numFmtId="0" xfId="0" applyAlignment="1" applyBorder="1" applyFill="1" applyFont="1">
      <alignment vertical="center"/>
    </xf>
    <xf borderId="1" fillId="29" fontId="8" numFmtId="0" xfId="0" applyAlignment="1" applyBorder="1" applyFill="1" applyFont="1">
      <alignment horizontal="center"/>
    </xf>
    <xf borderId="12" fillId="14" fontId="2" numFmtId="0" xfId="0" applyAlignment="1" applyBorder="1" applyFill="1" applyFont="1">
      <alignment horizontal="center" readingOrder="0" shrinkToFit="0" vertical="bottom" wrapText="1"/>
    </xf>
    <xf borderId="14" fillId="0" fontId="3" numFmtId="0" xfId="0" applyBorder="1" applyFont="1"/>
    <xf borderId="1" fillId="12" fontId="1" numFmtId="167" xfId="0" applyAlignment="1" applyBorder="1" applyFill="1" applyFont="1" applyNumberFormat="1">
      <alignment horizontal="center" readingOrder="0"/>
    </xf>
    <xf borderId="0" fillId="0" fontId="1" numFmtId="0" xfId="0" applyAlignment="1" applyFont="1">
      <alignment horizontal="center" readingOrder="0" vertical="center"/>
    </xf>
    <xf borderId="1" fillId="12" fontId="1" numFmtId="165" xfId="0" applyAlignment="1" applyBorder="1" applyFill="1" applyFont="1" applyNumberFormat="1">
      <alignment horizontal="center" readingOrder="0"/>
    </xf>
    <xf borderId="1" fillId="23" fontId="1" numFmtId="167" xfId="0" applyAlignment="1" applyBorder="1" applyFill="1" applyFont="1" applyNumberFormat="1">
      <alignment horizontal="center" readingOrder="0"/>
    </xf>
    <xf borderId="1" fillId="23" fontId="64" numFmtId="0" xfId="0" applyAlignment="1" applyBorder="1" applyFill="1" applyFont="1">
      <alignment horizontal="center" readingOrder="0"/>
    </xf>
    <xf borderId="1" fillId="7" fontId="1" numFmtId="167" xfId="0" applyAlignment="1" applyBorder="1" applyFill="1" applyFont="1" applyNumberFormat="1">
      <alignment horizontal="center" readingOrder="0"/>
    </xf>
    <xf borderId="1" fillId="25" fontId="1" numFmtId="167" xfId="0" applyAlignment="1" applyBorder="1" applyFill="1" applyFont="1" applyNumberFormat="1">
      <alignment horizontal="center" readingOrder="0"/>
    </xf>
    <xf borderId="1" fillId="3" fontId="1" numFmtId="167" xfId="0" applyAlignment="1" applyBorder="1" applyFill="1" applyFont="1" applyNumberFormat="1">
      <alignment horizontal="center" readingOrder="0"/>
    </xf>
    <xf borderId="0" fillId="0" fontId="1" numFmtId="164" xfId="0" applyAlignment="1" applyFont="1" applyNumberFormat="1">
      <alignment readingOrder="0"/>
    </xf>
    <xf borderId="1" fillId="12" fontId="1" numFmtId="0" xfId="0" applyAlignment="1" applyBorder="1" applyFill="1" applyFont="1">
      <alignment readingOrder="0" vertical="center"/>
    </xf>
    <xf borderId="1" fillId="12" fontId="1" numFmtId="0" xfId="0" applyAlignment="1" applyBorder="1" applyFill="1" applyFont="1">
      <alignment horizontal="center" readingOrder="0" vertical="center"/>
    </xf>
    <xf borderId="1" fillId="12" fontId="5" numFmtId="164" xfId="0" applyAlignment="1" applyBorder="1" applyFill="1" applyFont="1" applyNumberFormat="1">
      <alignment horizontal="center" readingOrder="0" shrinkToFit="0" vertical="center" wrapText="1"/>
    </xf>
    <xf borderId="9" fillId="14" fontId="2" numFmtId="0" xfId="0" applyAlignment="1" applyBorder="1" applyFill="1" applyFont="1">
      <alignment horizontal="center" readingOrder="0" shrinkToFit="0" vertical="bottom" wrapText="1"/>
    </xf>
    <xf borderId="11" fillId="0" fontId="3" numFmtId="0" xfId="0" applyBorder="1" applyFont="1"/>
    <xf borderId="5" fillId="0" fontId="2" numFmtId="0" xfId="0" applyAlignment="1" applyBorder="1" applyFont="1">
      <alignment horizontal="center" shrinkToFit="0" vertical="center" wrapText="1"/>
    </xf>
    <xf borderId="5" fillId="3" fontId="2" numFmtId="0" xfId="0" applyAlignment="1" applyBorder="1" applyFill="1" applyFont="1">
      <alignment horizontal="center" shrinkToFit="0" vertical="center" wrapText="1"/>
    </xf>
    <xf borderId="0" fillId="12" fontId="1" numFmtId="164" xfId="0" applyAlignment="1" applyFill="1" applyFont="1" applyNumberFormat="1">
      <alignment readingOrder="0"/>
    </xf>
    <xf borderId="0" fillId="12" fontId="68" numFmtId="0" xfId="0" applyAlignment="1" applyFill="1" applyFont="1">
      <alignment readingOrder="0"/>
    </xf>
    <xf borderId="0" fillId="23" fontId="1" numFmtId="164" xfId="0" applyAlignment="1" applyFill="1" applyFont="1" applyNumberFormat="1">
      <alignment readingOrder="0"/>
    </xf>
    <xf borderId="1" fillId="23" fontId="1" numFmtId="165" xfId="0" applyAlignment="1" applyBorder="1" applyFill="1" applyFont="1" applyNumberFormat="1">
      <alignment horizontal="center" readingOrder="0"/>
    </xf>
    <xf borderId="1" fillId="23" fontId="69" numFmtId="0" xfId="0" applyAlignment="1" applyBorder="1" applyFill="1" applyFont="1">
      <alignment readingOrder="0"/>
    </xf>
    <xf borderId="1" fillId="22" fontId="1" numFmtId="164" xfId="0" applyAlignment="1" applyBorder="1" applyFill="1" applyFont="1" applyNumberFormat="1">
      <alignment horizontal="center" readingOrder="0" vertical="center"/>
    </xf>
    <xf borderId="1" fillId="22" fontId="1" numFmtId="0" xfId="0" applyAlignment="1" applyBorder="1" applyFill="1" applyFont="1">
      <alignment horizontal="center" readingOrder="0" shrinkToFit="0" vertical="center" wrapText="1"/>
    </xf>
    <xf borderId="1" fillId="22" fontId="1" numFmtId="0" xfId="0" applyAlignment="1" applyBorder="1" applyFill="1" applyFont="1">
      <alignment horizontal="center" readingOrder="0" vertical="center"/>
    </xf>
    <xf borderId="1" fillId="22" fontId="1" numFmtId="165" xfId="0" applyAlignment="1" applyBorder="1" applyFill="1" applyFont="1" applyNumberFormat="1">
      <alignment horizontal="center" readingOrder="0" vertical="center"/>
    </xf>
    <xf borderId="5" fillId="0" fontId="5" numFmtId="0" xfId="0" applyAlignment="1" applyBorder="1" applyFont="1">
      <alignment horizontal="left" readingOrder="0" vertical="center"/>
    </xf>
    <xf borderId="1" fillId="22" fontId="8" numFmtId="0" xfId="0" applyAlignment="1" applyBorder="1" applyFill="1" applyFont="1">
      <alignment horizontal="center" readingOrder="0" shrinkToFit="0" vertical="center" wrapText="1"/>
    </xf>
    <xf borderId="1" fillId="22" fontId="70" numFmtId="0" xfId="0" applyAlignment="1" applyBorder="1" applyFill="1" applyFont="1">
      <alignment horizontal="center" readingOrder="0" vertical="center"/>
    </xf>
    <xf borderId="1" fillId="22" fontId="1" numFmtId="165" xfId="0" applyAlignment="1" applyBorder="1" applyFill="1" applyFont="1" applyNumberFormat="1">
      <alignment horizontal="center" vertical="center"/>
    </xf>
    <xf borderId="1" fillId="22" fontId="8" numFmtId="0" xfId="0" applyAlignment="1" applyBorder="1" applyFill="1" applyFont="1">
      <alignment horizontal="center" readingOrder="0" shrinkToFit="0" vertical="center" wrapText="0"/>
    </xf>
    <xf borderId="1" fillId="6" fontId="8" numFmtId="0" xfId="0" applyAlignment="1" applyBorder="1" applyFill="1" applyFont="1">
      <alignment horizontal="center" readingOrder="0" shrinkToFit="0" vertical="center" wrapText="1"/>
    </xf>
    <xf borderId="1" fillId="9" fontId="1" numFmtId="0" xfId="0" applyAlignment="1" applyBorder="1" applyFill="1" applyFont="1">
      <alignment horizontal="center" readingOrder="0" vertical="center"/>
    </xf>
    <xf borderId="1" fillId="9" fontId="1" numFmtId="165" xfId="0" applyAlignment="1" applyBorder="1" applyFill="1" applyFont="1" applyNumberFormat="1">
      <alignment horizontal="center" readingOrder="0" vertical="center"/>
    </xf>
    <xf borderId="1" fillId="9" fontId="1" numFmtId="165" xfId="0" applyAlignment="1" applyBorder="1" applyFill="1" applyFont="1" applyNumberFormat="1">
      <alignment horizontal="center" vertical="center"/>
    </xf>
    <xf borderId="1" fillId="9" fontId="1" numFmtId="0" xfId="0" applyAlignment="1" applyBorder="1" applyFill="1" applyFont="1">
      <alignment horizontal="center" readingOrder="0"/>
    </xf>
    <xf borderId="1" fillId="9" fontId="71" numFmtId="0" xfId="0" applyAlignment="1" applyBorder="1" applyFill="1" applyFont="1">
      <alignment horizontal="center" readingOrder="0"/>
    </xf>
    <xf borderId="1" fillId="9" fontId="1" numFmtId="0" xfId="0" applyAlignment="1" applyBorder="1" applyFill="1" applyFont="1">
      <alignment horizontal="center" readingOrder="0" shrinkToFit="0" wrapText="1"/>
    </xf>
    <xf borderId="1" fillId="9" fontId="8" numFmtId="0" xfId="0" applyAlignment="1" applyBorder="1" applyFill="1" applyFont="1">
      <alignment readingOrder="0" shrinkToFit="0" vertical="bottom" wrapText="0"/>
    </xf>
    <xf borderId="0" fillId="9" fontId="72" numFmtId="0" xfId="0" applyAlignment="1" applyFill="1" applyFont="1">
      <alignment readingOrder="0" vertical="center"/>
    </xf>
    <xf borderId="1" fillId="9" fontId="1" numFmtId="0" xfId="0" applyAlignment="1" applyBorder="1" applyFill="1" applyFont="1">
      <alignment horizontal="center" readingOrder="0" shrinkToFit="0" vertical="center" wrapText="1"/>
    </xf>
    <xf borderId="1" fillId="9" fontId="8" numFmtId="0" xfId="0" applyAlignment="1" applyBorder="1" applyFill="1" applyFont="1">
      <alignment readingOrder="0" shrinkToFit="0" vertical="center" wrapText="0"/>
    </xf>
    <xf borderId="0" fillId="9" fontId="1" numFmtId="164" xfId="0" applyAlignment="1" applyFill="1" applyFont="1" applyNumberFormat="1">
      <alignment readingOrder="0" vertical="center"/>
    </xf>
    <xf borderId="1" fillId="9" fontId="1" numFmtId="0" xfId="0" applyBorder="1" applyFill="1" applyFont="1"/>
    <xf borderId="1" fillId="9" fontId="1" numFmtId="0" xfId="0" applyAlignment="1" applyBorder="1" applyFill="1" applyFont="1">
      <alignment vertical="center"/>
    </xf>
    <xf borderId="1" fillId="9" fontId="73" numFmtId="0" xfId="0" applyAlignment="1" applyBorder="1" applyFill="1" applyFont="1">
      <alignment horizontal="center" readingOrder="0" vertical="center"/>
    </xf>
    <xf borderId="1" fillId="9" fontId="1" numFmtId="0" xfId="0" applyAlignment="1" applyBorder="1" applyFill="1" applyFont="1">
      <alignment readingOrder="0" vertical="center"/>
    </xf>
    <xf borderId="1" fillId="9" fontId="8" numFmtId="0" xfId="0" applyAlignment="1" applyBorder="1" applyFill="1" applyFont="1">
      <alignment horizontal="center" readingOrder="0" shrinkToFit="0" vertical="center" wrapText="0"/>
    </xf>
    <xf borderId="1" fillId="9" fontId="1" numFmtId="0" xfId="0" applyAlignment="1" applyBorder="1" applyFill="1" applyFont="1">
      <alignment horizontal="center" vertical="center"/>
    </xf>
    <xf borderId="1" fillId="9" fontId="1" numFmtId="0" xfId="0" applyAlignment="1" applyBorder="1" applyFill="1" applyFont="1">
      <alignment readingOrder="0"/>
    </xf>
    <xf borderId="1" fillId="9" fontId="1" numFmtId="0" xfId="0" applyAlignment="1" applyBorder="1" applyFill="1" applyFont="1">
      <alignment horizontal="center"/>
    </xf>
    <xf borderId="1" fillId="9" fontId="8" numFmtId="0" xfId="0" applyAlignment="1" applyBorder="1" applyFill="1" applyFont="1">
      <alignment horizontal="center" readingOrder="0" shrinkToFit="0" vertical="bottom" wrapText="0"/>
    </xf>
    <xf borderId="1" fillId="9" fontId="74" numFmtId="0" xfId="0" applyAlignment="1" applyBorder="1" applyFill="1" applyFont="1">
      <alignment readingOrder="0"/>
    </xf>
    <xf borderId="1" fillId="25" fontId="1" numFmtId="0" xfId="0" applyAlignment="1" applyBorder="1" applyFill="1" applyFont="1">
      <alignment horizontal="center" readingOrder="0" shrinkToFit="0" wrapText="1"/>
    </xf>
    <xf borderId="1" fillId="25" fontId="8" numFmtId="0" xfId="0" applyAlignment="1" applyBorder="1" applyFill="1" applyFont="1">
      <alignment horizontal="center" readingOrder="0" shrinkToFit="0" vertical="bottom" wrapText="0"/>
    </xf>
    <xf borderId="1" fillId="25" fontId="1" numFmtId="165" xfId="0" applyAlignment="1" applyBorder="1" applyFill="1" applyFont="1" applyNumberFormat="1">
      <alignment horizontal="center" vertical="center"/>
    </xf>
    <xf borderId="1" fillId="14" fontId="1" numFmtId="164" xfId="0" applyAlignment="1" applyBorder="1" applyFill="1" applyFont="1" applyNumberFormat="1">
      <alignment horizontal="center" readingOrder="0" vertical="center"/>
    </xf>
    <xf borderId="1" fillId="14" fontId="1" numFmtId="0" xfId="0" applyAlignment="1" applyBorder="1" applyFill="1" applyFont="1">
      <alignment horizontal="center" readingOrder="0" vertical="center"/>
    </xf>
    <xf borderId="1" fillId="14" fontId="1" numFmtId="165" xfId="0" applyAlignment="1" applyBorder="1" applyFill="1" applyFont="1" applyNumberFormat="1">
      <alignment horizontal="center" readingOrder="0" vertical="center"/>
    </xf>
    <xf borderId="1" fillId="14" fontId="1" numFmtId="0" xfId="0" applyAlignment="1" applyBorder="1" applyFill="1" applyFont="1">
      <alignment horizontal="center" vertical="center"/>
    </xf>
    <xf borderId="1" fillId="14" fontId="75" numFmtId="0" xfId="0" applyAlignment="1" applyBorder="1" applyFill="1" applyFont="1">
      <alignment readingOrder="0" vertical="center"/>
    </xf>
    <xf borderId="1" fillId="14" fontId="1" numFmtId="0" xfId="0" applyAlignment="1" applyBorder="1" applyFill="1" applyFont="1">
      <alignment horizontal="center" readingOrder="0" shrinkToFit="0" vertical="center" wrapText="1"/>
    </xf>
    <xf borderId="5" fillId="3" fontId="5" numFmtId="0" xfId="0" applyAlignment="1" applyBorder="1" applyFill="1" applyFont="1">
      <alignment horizontal="left" readingOrder="0" vertical="center"/>
    </xf>
    <xf borderId="1" fillId="14" fontId="76" numFmtId="0" xfId="0" applyAlignment="1" applyBorder="1" applyFill="1" applyFont="1">
      <alignment readingOrder="0" vertical="center"/>
    </xf>
    <xf borderId="1" fillId="14" fontId="1" numFmtId="0" xfId="0" applyAlignment="1" applyBorder="1" applyFill="1" applyFont="1">
      <alignment horizontal="center" shrinkToFit="0" vertical="center" wrapText="1"/>
    </xf>
    <xf borderId="1" fillId="14" fontId="77" numFmtId="0" xfId="0" applyAlignment="1" applyBorder="1" applyFill="1" applyFont="1">
      <alignment readingOrder="0" vertical="center"/>
    </xf>
    <xf borderId="1" fillId="14" fontId="1" numFmtId="0" xfId="0" applyAlignment="1" applyBorder="1" applyFill="1" applyFont="1">
      <alignment vertical="center"/>
    </xf>
    <xf borderId="1" fillId="14" fontId="1" numFmtId="0" xfId="0" applyAlignment="1" applyBorder="1" applyFill="1" applyFont="1">
      <alignment readingOrder="0" vertical="center"/>
    </xf>
    <xf borderId="1" fillId="14" fontId="16" numFmtId="164" xfId="0" applyAlignment="1" applyBorder="1" applyFill="1" applyFont="1" applyNumberFormat="1">
      <alignment horizontal="center" readingOrder="0" vertical="center"/>
    </xf>
    <xf borderId="1" fillId="14" fontId="16" numFmtId="0" xfId="0" applyAlignment="1" applyBorder="1" applyFill="1" applyFont="1">
      <alignment horizontal="center" readingOrder="0" vertical="center"/>
    </xf>
    <xf borderId="1" fillId="14" fontId="16" numFmtId="165" xfId="0" applyAlignment="1" applyBorder="1" applyFill="1" applyFont="1" applyNumberFormat="1">
      <alignment horizontal="center" readingOrder="0" vertical="center"/>
    </xf>
    <xf borderId="1" fillId="14" fontId="78" numFmtId="0" xfId="0" applyAlignment="1" applyBorder="1" applyFill="1" applyFont="1">
      <alignment horizontal="center" readingOrder="0" vertical="center"/>
    </xf>
    <xf borderId="1" fillId="14" fontId="1" numFmtId="165" xfId="0" applyAlignment="1" applyBorder="1" applyFill="1" applyFont="1" applyNumberFormat="1">
      <alignment horizontal="center" vertical="center"/>
    </xf>
    <xf borderId="1" fillId="14" fontId="16" numFmtId="0" xfId="0" applyAlignment="1" applyBorder="1" applyFill="1" applyFont="1">
      <alignment horizontal="center" readingOrder="0" shrinkToFit="0" vertical="center" wrapText="1"/>
    </xf>
    <xf borderId="1" fillId="14" fontId="16" numFmtId="165" xfId="0" applyAlignment="1" applyBorder="1" applyFill="1" applyFont="1" applyNumberFormat="1">
      <alignment horizontal="center" readingOrder="0" shrinkToFit="0" vertical="center" wrapText="1"/>
    </xf>
    <xf borderId="1" fillId="14" fontId="4" numFmtId="0" xfId="0" applyAlignment="1" applyBorder="1" applyFill="1" applyFont="1">
      <alignment horizontal="center" readingOrder="0" shrinkToFit="0" vertical="center" wrapText="1"/>
    </xf>
    <xf borderId="0" fillId="23" fontId="1" numFmtId="165" xfId="0" applyAlignment="1" applyFill="1" applyFont="1" applyNumberFormat="1">
      <alignment readingOrder="0"/>
    </xf>
    <xf borderId="0" fillId="23" fontId="1" numFmtId="0" xfId="0" applyAlignment="1" applyFill="1" applyFont="1">
      <alignment readingOrder="0"/>
    </xf>
    <xf borderId="0" fillId="23" fontId="1" numFmtId="0" xfId="0" applyFill="1" applyFont="1"/>
    <xf borderId="0" fillId="23" fontId="5" numFmtId="165" xfId="0" applyFill="1" applyFont="1" applyNumberFormat="1"/>
    <xf borderId="0" fillId="3" fontId="5" numFmtId="0" xfId="0" applyAlignment="1" applyFill="1" applyFont="1">
      <alignment horizontal="left" readingOrder="0" vertical="center"/>
    </xf>
    <xf borderId="0" fillId="3" fontId="2" numFmtId="0" xfId="0" applyAlignment="1" applyFill="1" applyFont="1">
      <alignment horizontal="center" readingOrder="0" shrinkToFit="0" vertical="center" wrapText="1"/>
    </xf>
    <xf borderId="0" fillId="23" fontId="4" numFmtId="165" xfId="0" applyAlignment="1" applyFill="1" applyFont="1" applyNumberFormat="1">
      <alignment horizontal="center" readingOrder="0" shrinkToFit="0" vertical="center" wrapText="1"/>
    </xf>
    <xf borderId="0" fillId="23" fontId="4" numFmtId="0" xfId="0" applyAlignment="1" applyFill="1" applyFont="1">
      <alignment horizontal="center" readingOrder="0" shrinkToFit="0" vertical="bottom" wrapText="1"/>
    </xf>
    <xf borderId="0" fillId="23" fontId="2" numFmtId="0" xfId="0" applyAlignment="1" applyFill="1" applyFont="1">
      <alignment horizontal="center" readingOrder="0" shrinkToFit="0" vertical="bottom" wrapText="1"/>
    </xf>
    <xf borderId="0" fillId="3" fontId="2" numFmtId="165" xfId="0" applyAlignment="1" applyFill="1" applyFont="1" applyNumberFormat="1">
      <alignment horizontal="center" readingOrder="0" shrinkToFit="0" vertical="bottom" wrapText="1"/>
    </xf>
    <xf borderId="5" fillId="0" fontId="2" numFmtId="0" xfId="0" applyAlignment="1" applyBorder="1" applyFont="1">
      <alignment horizontal="center" shrinkToFit="0" wrapText="1"/>
    </xf>
    <xf borderId="5" fillId="3" fontId="2" numFmtId="0" xfId="0" applyAlignment="1" applyBorder="1" applyFill="1" applyFont="1">
      <alignment horizontal="center" shrinkToFit="0" wrapText="1"/>
    </xf>
    <xf borderId="1" fillId="12" fontId="1" numFmtId="0" xfId="0" applyAlignment="1" applyBorder="1" applyFill="1" applyFont="1">
      <alignment readingOrder="0"/>
    </xf>
    <xf borderId="1" fillId="12" fontId="79" numFmtId="0" xfId="0" applyAlignment="1" applyBorder="1" applyFill="1" applyFont="1">
      <alignment readingOrder="0"/>
    </xf>
    <xf borderId="1" fillId="26" fontId="1" numFmtId="164" xfId="0" applyAlignment="1" applyBorder="1" applyFill="1" applyFont="1" applyNumberFormat="1">
      <alignment readingOrder="0"/>
    </xf>
    <xf borderId="1" fillId="26" fontId="1" numFmtId="0" xfId="0" applyAlignment="1" applyBorder="1" applyFill="1" applyFont="1">
      <alignment readingOrder="0"/>
    </xf>
    <xf borderId="1" fillId="26" fontId="1" numFmtId="165" xfId="0" applyAlignment="1" applyBorder="1" applyFill="1" applyFont="1" applyNumberFormat="1">
      <alignment horizontal="center" readingOrder="0"/>
    </xf>
    <xf borderId="1" fillId="26" fontId="80" numFmtId="0" xfId="0" applyAlignment="1" applyBorder="1" applyFill="1" applyFont="1">
      <alignment readingOrder="0"/>
    </xf>
    <xf borderId="1" fillId="26" fontId="1" numFmtId="0" xfId="0" applyBorder="1" applyFill="1" applyFont="1"/>
    <xf borderId="1" fillId="3" fontId="81" numFmtId="0" xfId="0" applyAlignment="1" applyBorder="1" applyFill="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RECOMPRA LUGER 2026-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5:F16" displayName="Tabla_1" name="Tabla_1" id="1">
  <tableColumns count="5">
    <tableColumn name="FECHA" id="1"/>
    <tableColumn name="ORDEN DE COMPRA " id="2"/>
    <tableColumn name="VALOR " id="3"/>
    <tableColumn name="INGRESO " id="4"/>
    <tableColumn name="EGRESO" id="5"/>
  </tableColumns>
  <tableStyleInfo name="PRECOMPRA LUGER 2026-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Ujv86LChHZr7ZGRHsR9C5doYh1RY9KDN/view?usp=drive_link" TargetMode="External"/><Relationship Id="rId42" Type="http://schemas.openxmlformats.org/officeDocument/2006/relationships/hyperlink" Target="https://drive.google.com/file/d/15sOSRNZvIyqgZ4GCSg6lydxCgwIIaNrl/view?usp=drive_link" TargetMode="External"/><Relationship Id="rId41" Type="http://schemas.openxmlformats.org/officeDocument/2006/relationships/hyperlink" Target="https://drive.google.com/file/d/1W2IFlRgs-_3mb_EkNd6g_JJcAHhLL_UE/view?usp=drive_link" TargetMode="External"/><Relationship Id="rId44" Type="http://schemas.openxmlformats.org/officeDocument/2006/relationships/hyperlink" Target="https://drive.google.com/file/d/1i_VdvVaiYglm1fj9-eSbzKeQKRA-mUp4/view?usp=drive_link" TargetMode="External"/><Relationship Id="rId43" Type="http://schemas.openxmlformats.org/officeDocument/2006/relationships/hyperlink" Target="https://drive.google.com/file/d/1QXNav4MT_uvROtnYJhYYFvugf-GnPqjQ/view?usp=drive_link" TargetMode="External"/><Relationship Id="rId46" Type="http://schemas.openxmlformats.org/officeDocument/2006/relationships/hyperlink" Target="https://drive.google.com/file/d/1DiX2oUr1jrncc7jmGrDkQGLrDE8eiiBh/view?usp=drive_link" TargetMode="External"/><Relationship Id="rId45" Type="http://schemas.openxmlformats.org/officeDocument/2006/relationships/hyperlink" Target="https://drive.google.com/file/d/12JyT3p7j3K0tlQoEuPIk_mB7C8uCRSab/view?usp=drive_link" TargetMode="External"/><Relationship Id="rId107" Type="http://schemas.openxmlformats.org/officeDocument/2006/relationships/hyperlink" Target="https://drive.google.com/file/d/1FXrFa7-umDSGg1mylK-ZLq5O2HJ0Qmqg/view?usp=drive_link" TargetMode="External"/><Relationship Id="rId106" Type="http://schemas.openxmlformats.org/officeDocument/2006/relationships/hyperlink" Target="https://drive.google.com/file/d/1LWkuXVhShfxeF68C_WVZBkvV9izcNhZG/view?usp=drive_link" TargetMode="External"/><Relationship Id="rId105" Type="http://schemas.openxmlformats.org/officeDocument/2006/relationships/hyperlink" Target="https://drive.google.com/file/d/1OkpOd79MndqVQx47_m8HhhPlvPVSS_9T/view?usp=drive_link" TargetMode="External"/><Relationship Id="rId104" Type="http://schemas.openxmlformats.org/officeDocument/2006/relationships/hyperlink" Target="https://drive.google.com/file/d/1Tg8OdOIPNVULu4YOhIVuO14tubhrLX_q/view?usp=drive_link" TargetMode="External"/><Relationship Id="rId109" Type="http://schemas.openxmlformats.org/officeDocument/2006/relationships/hyperlink" Target="https://drive.google.com/file/d/1XN7K9pzGKxpk3uEqWy2l7YhNVIw5XbL0/view?usp=drive_link" TargetMode="External"/><Relationship Id="rId108" Type="http://schemas.openxmlformats.org/officeDocument/2006/relationships/hyperlink" Target="https://drive.google.com/file/d/18J65ulQ7q7eTE6ZMPOtNCZ8fgJYiffJW/view?usp=drive_link" TargetMode="External"/><Relationship Id="rId48" Type="http://schemas.openxmlformats.org/officeDocument/2006/relationships/hyperlink" Target="https://drive.google.com/file/d/1RBP6cH8rWB7Y6edZ4KrNa1dWLNbZolWN/view?usp=drive_link" TargetMode="External"/><Relationship Id="rId47" Type="http://schemas.openxmlformats.org/officeDocument/2006/relationships/hyperlink" Target="https://drive.google.com/file/d/1RqELkhGB-UrJMVKSAikC_eB5df_mLEto/view?usp=drive_link" TargetMode="External"/><Relationship Id="rId49" Type="http://schemas.openxmlformats.org/officeDocument/2006/relationships/hyperlink" Target="https://drive.google.com/file/d/1PLgcy3TIjAmasZzDRiIwisSCSIyymwZ-/view?usp=drive_link" TargetMode="External"/><Relationship Id="rId103" Type="http://schemas.openxmlformats.org/officeDocument/2006/relationships/hyperlink" Target="https://drive.google.com/file/d/1lB_FhNyOU2oe2xwN9DiJom0TvfLRKJgl/view?usp=drive_link" TargetMode="External"/><Relationship Id="rId102" Type="http://schemas.openxmlformats.org/officeDocument/2006/relationships/hyperlink" Target="https://drive.google.com/file/d/1eiKmSf1aoHsLI0wFPxjV9Pg89EAvcT68/view?usp=drive_link" TargetMode="External"/><Relationship Id="rId101" Type="http://schemas.openxmlformats.org/officeDocument/2006/relationships/hyperlink" Target="https://drive.google.com/file/d/12l8TH_KD3a5aiTjoBGtVdBdmObOcxTat/view?usp=drive_link" TargetMode="External"/><Relationship Id="rId100" Type="http://schemas.openxmlformats.org/officeDocument/2006/relationships/hyperlink" Target="https://drive.google.com/file/d/1_cLtCGdrf9hNhrAzvvRcwbrg_7dh2kBY/view?usp=drive_link" TargetMode="External"/><Relationship Id="rId31" Type="http://schemas.openxmlformats.org/officeDocument/2006/relationships/hyperlink" Target="https://drive.google.com/file/d/1AW8NJkTRj-tlG7ofnbLyShS0DIHVKr49/view?usp=drive_link" TargetMode="External"/><Relationship Id="rId30" Type="http://schemas.openxmlformats.org/officeDocument/2006/relationships/hyperlink" Target="https://drive.google.com/file/d/1D7SYV6l7kfkt-CTn2sCw7nDfoMGpFMaw/view?usp=drive_link" TargetMode="External"/><Relationship Id="rId33" Type="http://schemas.openxmlformats.org/officeDocument/2006/relationships/hyperlink" Target="https://drive.google.com/file/d/1n32ADdZs5zFiqFASzPbWdc2h1v1fGZdX/view?usp=drive_link" TargetMode="External"/><Relationship Id="rId32" Type="http://schemas.openxmlformats.org/officeDocument/2006/relationships/hyperlink" Target="https://drive.google.com/file/d/1IDGU-0hbZi5pysAM9xuwXf2y13iXeHT8/view?usp=drive_link" TargetMode="External"/><Relationship Id="rId35" Type="http://schemas.openxmlformats.org/officeDocument/2006/relationships/hyperlink" Target="https://drive.google.com/file/d/1ERKdo3xvbqyDxR_FBub0ymqpT_10EYZz/view?usp=drive_link" TargetMode="External"/><Relationship Id="rId34" Type="http://schemas.openxmlformats.org/officeDocument/2006/relationships/hyperlink" Target="https://drive.google.com/file/d/1f_qnVLyLhxDN_XqKrAu2iaHPFyiwmzbb/view?usp=drive_link" TargetMode="External"/><Relationship Id="rId37" Type="http://schemas.openxmlformats.org/officeDocument/2006/relationships/hyperlink" Target="https://drive.google.com/drive/folders/1fif4nEbh93oqkpaV0yatfNyZ9FcQhSnR?usp=drive_link" TargetMode="External"/><Relationship Id="rId36" Type="http://schemas.openxmlformats.org/officeDocument/2006/relationships/hyperlink" Target="https://drive.google.com/file/d/17XE8GZwOUHztU000AKUJv0eIvzHOkbr-/view?usp=drive_link" TargetMode="External"/><Relationship Id="rId39" Type="http://schemas.openxmlformats.org/officeDocument/2006/relationships/hyperlink" Target="https://drive.google.com/drive/folders/1r-NGFitr_SblmfeZXMA2kUdpmEFd-mMB?usp=drive_link" TargetMode="External"/><Relationship Id="rId38" Type="http://schemas.openxmlformats.org/officeDocument/2006/relationships/hyperlink" Target="https://drive.google.com/drive/folders/1FgkUlfK8JJeIvMm-ph8lnYiQhmQ27B2R?usp=drive_link" TargetMode="External"/><Relationship Id="rId20" Type="http://schemas.openxmlformats.org/officeDocument/2006/relationships/hyperlink" Target="https://drive.google.com/file/d/1jD8LSAZscg1fu9Dw7wrsoR4-E7-Z54Bt/view?usp=drive_link" TargetMode="External"/><Relationship Id="rId22" Type="http://schemas.openxmlformats.org/officeDocument/2006/relationships/hyperlink" Target="https://drive.google.com/file/d/1OBtA6yZib5sxXZ5rWstR88iD0wqlHm1a/view?usp=drive_link" TargetMode="External"/><Relationship Id="rId21" Type="http://schemas.openxmlformats.org/officeDocument/2006/relationships/hyperlink" Target="https://drive.google.com/file/d/1Vuss0miLmNrr7jlJWnSyKQ-IwhpHmQeV/view?usp=drive_link" TargetMode="External"/><Relationship Id="rId24" Type="http://schemas.openxmlformats.org/officeDocument/2006/relationships/hyperlink" Target="https://drive.google.com/file/d/19-IsJVSr6lFxYfd0C5WtwPutqbcf4nNR/view?usp=drive_link" TargetMode="External"/><Relationship Id="rId23" Type="http://schemas.openxmlformats.org/officeDocument/2006/relationships/hyperlink" Target="https://drive.google.com/drive/folders/1jVrcCGvgJKbYQdO9mkySfTS_87V_iYUQ?usp=drive_link" TargetMode="External"/><Relationship Id="rId26" Type="http://schemas.openxmlformats.org/officeDocument/2006/relationships/hyperlink" Target="https://drive.google.com/file/d/125N5vcIaGs2BNXdcXHAfYWTLiNhZTn4x/view?usp=drive_link" TargetMode="External"/><Relationship Id="rId121" Type="http://schemas.openxmlformats.org/officeDocument/2006/relationships/hyperlink" Target="https://drive.google.com/file/d/1r0OVxtmOm6bYjylDLC7ihx9I4LDn8IPj/view?usp=drive_link" TargetMode="External"/><Relationship Id="rId25" Type="http://schemas.openxmlformats.org/officeDocument/2006/relationships/hyperlink" Target="https://drive.google.com/drive/folders/1EgQ4PYa0LRrvoOENBRl0YJsGczJRa-oM?usp=drive_link" TargetMode="External"/><Relationship Id="rId120" Type="http://schemas.openxmlformats.org/officeDocument/2006/relationships/hyperlink" Target="https://drive.google.com/file/d/1DuudGcIy4BctShXRD8CXS53Hfos-kwXG/view?usp=drive_link" TargetMode="External"/><Relationship Id="rId28" Type="http://schemas.openxmlformats.org/officeDocument/2006/relationships/hyperlink" Target="https://drive.google.com/drive/folders/1QwOLLcjcHnQX5tThlNNdMp0BXF3dwQvc?usp=drive_link" TargetMode="External"/><Relationship Id="rId27" Type="http://schemas.openxmlformats.org/officeDocument/2006/relationships/hyperlink" Target="https://drive.google.com/drive/folders/1hzxiQ6pcua00RoJT2afNMgkmkmHW8d3v?usp=drive_link" TargetMode="External"/><Relationship Id="rId125" Type="http://schemas.openxmlformats.org/officeDocument/2006/relationships/vmlDrawing" Target="../drawings/vmlDrawing1.vml"/><Relationship Id="rId29" Type="http://schemas.openxmlformats.org/officeDocument/2006/relationships/hyperlink" Target="https://drive.google.com/drive/folders/15SFSxejCf4wmBo7jF6cjkEO2jT2PcS_O?usp=drive_link" TargetMode="External"/><Relationship Id="rId124" Type="http://schemas.openxmlformats.org/officeDocument/2006/relationships/drawing" Target="../drawings/drawing1.xml"/><Relationship Id="rId123" Type="http://schemas.openxmlformats.org/officeDocument/2006/relationships/hyperlink" Target="https://drive.google.com/file/d/1sgt5RR_VzxN-_GBAa_9FuuTO6-rNy9nx/view?usp=drive_link" TargetMode="External"/><Relationship Id="rId122" Type="http://schemas.openxmlformats.org/officeDocument/2006/relationships/hyperlink" Target="https://drive.google.com/file/d/1KSoI_OAfRarI52VbewMW1NfYFVfyw-2R/view?usp=drive_link" TargetMode="External"/><Relationship Id="rId95" Type="http://schemas.openxmlformats.org/officeDocument/2006/relationships/hyperlink" Target="https://drive.google.com/file/d/1FGLw5od0TDhDUDZQl7PqnN1P_P63AoSs/view?usp=drive_link" TargetMode="External"/><Relationship Id="rId94" Type="http://schemas.openxmlformats.org/officeDocument/2006/relationships/hyperlink" Target="https://drive.google.com/file/d/1H73GWfkLE1lfoMNvWPgMS50QRRE9I3En/view?usp=drive_link" TargetMode="External"/><Relationship Id="rId97" Type="http://schemas.openxmlformats.org/officeDocument/2006/relationships/hyperlink" Target="https://drive.google.com/file/d/1vtRbqMxIjMA1h_VPAUytRgD3WJcWtdZW/view?usp=drive_link" TargetMode="External"/><Relationship Id="rId96" Type="http://schemas.openxmlformats.org/officeDocument/2006/relationships/hyperlink" Target="https://drive.google.com/file/d/1pmmsZPsxSMnxpCW29nYluCD_6dgA5Vl5/view?usp=drive_link" TargetMode="External"/><Relationship Id="rId11" Type="http://schemas.openxmlformats.org/officeDocument/2006/relationships/hyperlink" Target="https://drive.google.com/file/d/1zMNfS3783lwKmR-F74Z2UAesnlcjLAZj/view?usp=drive_link" TargetMode="External"/><Relationship Id="rId99" Type="http://schemas.openxmlformats.org/officeDocument/2006/relationships/hyperlink" Target="https://drive.google.com/file/d/15lbHYE7kSWWF9zqJS-6q4xHX9a8z7jZR/view?usp=drive_link" TargetMode="External"/><Relationship Id="rId10" Type="http://schemas.openxmlformats.org/officeDocument/2006/relationships/hyperlink" Target="https://drive.google.com/file/d/1hR-a3iv-o-ouqzHoF9TffcHJ6nmV48OK/view?usp=drive_link" TargetMode="External"/><Relationship Id="rId98" Type="http://schemas.openxmlformats.org/officeDocument/2006/relationships/hyperlink" Target="https://drive.google.com/file/d/1BfE0ztqoNKc_-2VqSXbW-MFhbzGUrxwW/view?usp=drive_link" TargetMode="External"/><Relationship Id="rId13" Type="http://schemas.openxmlformats.org/officeDocument/2006/relationships/hyperlink" Target="https://drive.google.com/file/d/15PqMdg2w4Idgj3l4e1006B008kqMN_EP/view?usp=drive_link" TargetMode="External"/><Relationship Id="rId12" Type="http://schemas.openxmlformats.org/officeDocument/2006/relationships/hyperlink" Target="https://drive.google.com/file/d/17dCQIMtvdtMrgbO-eS4KD-3dCL_znmmo/view?usp=drive_link" TargetMode="External"/><Relationship Id="rId91" Type="http://schemas.openxmlformats.org/officeDocument/2006/relationships/hyperlink" Target="https://drive.google.com/file/d/1iwl91i8jORY4gmS1s6-Imq6uwnta8gCU/view?usp=drive_link" TargetMode="External"/><Relationship Id="rId90" Type="http://schemas.openxmlformats.org/officeDocument/2006/relationships/hyperlink" Target="https://drive.google.com/file/d/1wJbX1cRElSo612iR18GHhJ2X5QQlQsqL/view?usp=drive_link" TargetMode="External"/><Relationship Id="rId93" Type="http://schemas.openxmlformats.org/officeDocument/2006/relationships/hyperlink" Target="https://drive.google.com/file/d/16Api7j2RuAKnfb-on32dHQ5fXN17efvI/view?usp=drive_link" TargetMode="External"/><Relationship Id="rId92" Type="http://schemas.openxmlformats.org/officeDocument/2006/relationships/hyperlink" Target="https://drive.google.com/drive/folders/1Ez2OkYawiSTx4MBol2y3-L20jc-vjPk4?usp=drive_link" TargetMode="External"/><Relationship Id="rId118" Type="http://schemas.openxmlformats.org/officeDocument/2006/relationships/hyperlink" Target="https://drive.google.com/file/d/1pbxtgG2Q5KYEM58EjeQczjZNAkN-_9Qa/view?usp=drive_link" TargetMode="External"/><Relationship Id="rId117" Type="http://schemas.openxmlformats.org/officeDocument/2006/relationships/hyperlink" Target="https://drive.google.com/file/d/1CZ2QG9CfQQA8PoLsbPdoXRDx6kbceGyH/view?usp=drive_link" TargetMode="External"/><Relationship Id="rId116" Type="http://schemas.openxmlformats.org/officeDocument/2006/relationships/hyperlink" Target="https://drive.google.com/file/d/19OtBcv9JQQ7oXgdmclsmDN751puKpfkj/view?usp=sharing" TargetMode="External"/><Relationship Id="rId115" Type="http://schemas.openxmlformats.org/officeDocument/2006/relationships/hyperlink" Target="https://drive.google.com/file/d/1ME9OmmtdqGWpjGYVUTsCJGsLPTooaH1_/view?usp=drive_link" TargetMode="External"/><Relationship Id="rId119" Type="http://schemas.openxmlformats.org/officeDocument/2006/relationships/hyperlink" Target="https://drive.google.com/file/d/1WOxuV-i3oTs1UMopSxp2OZm6g0SFwbY0/view?usp=drive_link" TargetMode="External"/><Relationship Id="rId15" Type="http://schemas.openxmlformats.org/officeDocument/2006/relationships/hyperlink" Target="https://drive.google.com/file/d/1X9ghQwgv5gsbkgisnIVm-SCIkW7tKaqT/view?usp=drive_link" TargetMode="External"/><Relationship Id="rId110" Type="http://schemas.openxmlformats.org/officeDocument/2006/relationships/hyperlink" Target="https://drive.google.com/file/d/12iXLxrzDrnSxRL-4EaeTPWr4otR-0Fw7/view?usp=drive_link" TargetMode="External"/><Relationship Id="rId14" Type="http://schemas.openxmlformats.org/officeDocument/2006/relationships/hyperlink" Target="https://drive.google.com/file/d/1DGMwSO0Z5D88XdpXG5CljWYQHjXvm1BI/view?usp=drive_link" TargetMode="External"/><Relationship Id="rId17" Type="http://schemas.openxmlformats.org/officeDocument/2006/relationships/hyperlink" Target="https://drive.google.com/file/d/1We4BJ67-6mLJx3VL4gLhR2N2auaqEWuD/view?usp=drive_link" TargetMode="External"/><Relationship Id="rId16" Type="http://schemas.openxmlformats.org/officeDocument/2006/relationships/hyperlink" Target="https://drive.google.com/file/d/1o26MGPu44Y-PFPuWA04qeqILE93066Uu/view?usp=drive_link" TargetMode="External"/><Relationship Id="rId19" Type="http://schemas.openxmlformats.org/officeDocument/2006/relationships/hyperlink" Target="https://drive.google.com/file/d/1wpIbPmD9cAxjnmZmQTVKARUnW1I2q5Hj/view?usp=drive_link" TargetMode="External"/><Relationship Id="rId114" Type="http://schemas.openxmlformats.org/officeDocument/2006/relationships/hyperlink" Target="https://drive.google.com/file/d/19g_PHFNHQxsDGwO057-9EHeBkIiB6qQv/view?usp=drive_link" TargetMode="External"/><Relationship Id="rId18" Type="http://schemas.openxmlformats.org/officeDocument/2006/relationships/hyperlink" Target="https://drive.google.com/file/d/1ukWOISlZbpr1e_IjDlt1CSBHoAXyAGmW/view?usp=drive_link" TargetMode="External"/><Relationship Id="rId113" Type="http://schemas.openxmlformats.org/officeDocument/2006/relationships/hyperlink" Target="https://drive.google.com/file/d/1J2JoPtdMus79bltULj4QqvC1myqnkPDP/view?usp=drive_link" TargetMode="External"/><Relationship Id="rId112" Type="http://schemas.openxmlformats.org/officeDocument/2006/relationships/hyperlink" Target="https://drive.google.com/file/d/17qKPoWlsWC9TBqzq2G1UObOcLG4e9TeT/view?usp=drive_link" TargetMode="External"/><Relationship Id="rId111" Type="http://schemas.openxmlformats.org/officeDocument/2006/relationships/hyperlink" Target="https://drive.google.com/file/d/1Jn2q2FxW52YCE_aPIKvqJBMGJ4DQJN44/view?usp=drive_link" TargetMode="External"/><Relationship Id="rId84" Type="http://schemas.openxmlformats.org/officeDocument/2006/relationships/hyperlink" Target="https://drive.google.com/file/d/1PCp2rZs1rbeQg5qCuyE3lAYo7RXGGvD1/view?usp=drive_link" TargetMode="External"/><Relationship Id="rId83" Type="http://schemas.openxmlformats.org/officeDocument/2006/relationships/hyperlink" Target="https://drive.google.com/drive/folders/16ul6v6KVO1rtAVrhqX1uajLtAKUuAPtQ?usp=drive_link" TargetMode="External"/><Relationship Id="rId86" Type="http://schemas.openxmlformats.org/officeDocument/2006/relationships/hyperlink" Target="https://drive.google.com/drive/folders/1nwGxGG2wsmQM0begq28cTEos13RGiIQQ?usp=drive_link" TargetMode="External"/><Relationship Id="rId85" Type="http://schemas.openxmlformats.org/officeDocument/2006/relationships/hyperlink" Target="https://drive.google.com/drive/folders/1_KqK2G-FKp_6BFGw9depFBdcFXX5UdH9?usp=drive_link" TargetMode="External"/><Relationship Id="rId88" Type="http://schemas.openxmlformats.org/officeDocument/2006/relationships/hyperlink" Target="https://drive.google.com/file/d/11KGdrCZP8YuB2axGLTZqhrYLa8jTHgyO/view?usp=drive_link" TargetMode="External"/><Relationship Id="rId87" Type="http://schemas.openxmlformats.org/officeDocument/2006/relationships/hyperlink" Target="https://drive.google.com/file/d/1ioELC33AuGB3QeILYq2mWadlHKxC1GSQ/view?usp=drive_link" TargetMode="External"/><Relationship Id="rId89" Type="http://schemas.openxmlformats.org/officeDocument/2006/relationships/hyperlink" Target="https://drive.google.com/file/d/1qybVcSObDFmIxY2F7vrxhuX0C4P02ek6/view?usp=drive_link" TargetMode="External"/><Relationship Id="rId80" Type="http://schemas.openxmlformats.org/officeDocument/2006/relationships/hyperlink" Target="https://drive.google.com/file/d/1yL-1eXZroPZp8ulqT40GI6Fv7LrOaJVC/view?usp=drive_link" TargetMode="External"/><Relationship Id="rId82" Type="http://schemas.openxmlformats.org/officeDocument/2006/relationships/hyperlink" Target="https://drive.google.com/file/d/19g_PHFNHQxsDGwO057-9EHeBkIiB6qQv/view?usp=drive_link" TargetMode="External"/><Relationship Id="rId81" Type="http://schemas.openxmlformats.org/officeDocument/2006/relationships/hyperlink" Target="https://drive.google.com/file/d/1pSIXtDaArwYKHVqzcMiHWcrYGQ4HiGc5/view?usp=drive_link" TargetMode="External"/><Relationship Id="rId1" Type="http://schemas.openxmlformats.org/officeDocument/2006/relationships/comments" Target="../comments1.xml"/><Relationship Id="rId2" Type="http://schemas.openxmlformats.org/officeDocument/2006/relationships/hyperlink" Target="https://drive.google.com/drive/folders/1E-ry97Hcfa-a3ff5N-a_7hH42rpFRBo3?usp=drive_link" TargetMode="External"/><Relationship Id="rId3" Type="http://schemas.openxmlformats.org/officeDocument/2006/relationships/hyperlink" Target="https://drive.google.com/drive/folders/1qWEJNU5Xb1fQ39QGL-Mrua4Qe-0GnFsD?usp=drive_link" TargetMode="External"/><Relationship Id="rId4" Type="http://schemas.openxmlformats.org/officeDocument/2006/relationships/hyperlink" Target="https://drive.google.com/drive/folders/1-VAYZjLWGSfx_I9C5n_FN3LXshChY2aY?usp=drive_link" TargetMode="External"/><Relationship Id="rId9" Type="http://schemas.openxmlformats.org/officeDocument/2006/relationships/hyperlink" Target="https://drive.google.com/file/d/1SDKFRpzhkHapWcul8oBV0iYunpoXVpcN/view?usp=drive_link" TargetMode="External"/><Relationship Id="rId5" Type="http://schemas.openxmlformats.org/officeDocument/2006/relationships/hyperlink" Target="https://drive.google.com/drive/folders/1K3pdk_7gvJHJOaXREPwNZHLrQ8w7_DOp?usp=drive_link" TargetMode="External"/><Relationship Id="rId6" Type="http://schemas.openxmlformats.org/officeDocument/2006/relationships/hyperlink" Target="https://drive.google.com/drive/folders/1jQWF8qM755VAr-yhpiUUQhsy9bM0m-96?usp=drive_link" TargetMode="External"/><Relationship Id="rId7" Type="http://schemas.openxmlformats.org/officeDocument/2006/relationships/hyperlink" Target="https://drive.google.com/drive/folders/1YdeBo4CxpP9Ahxef2RwH-ktLwgYIp2OH?usp=drive_link" TargetMode="External"/><Relationship Id="rId8" Type="http://schemas.openxmlformats.org/officeDocument/2006/relationships/hyperlink" Target="https://drive.google.com/file/d/1_2sN2ERijCE2J3u0GZhOfQe1kz8gm9Fx/view?usp=drive_link" TargetMode="External"/><Relationship Id="rId73" Type="http://schemas.openxmlformats.org/officeDocument/2006/relationships/hyperlink" Target="https://drive.google.com/file/d/1o9lvu4YUvzb3k7votaT9BQWBQhbg0JKp/view?usp=drive_link" TargetMode="External"/><Relationship Id="rId72" Type="http://schemas.openxmlformats.org/officeDocument/2006/relationships/hyperlink" Target="https://drive.google.com/file/d/1K5pWjKkLRiRMPUPoqAY3zAuLHCFko641/view?usp=drive_link" TargetMode="External"/><Relationship Id="rId75" Type="http://schemas.openxmlformats.org/officeDocument/2006/relationships/hyperlink" Target="https://drive.google.com/drive/folders/1Scoe3XNIndFAGEFrM0JA0Sec7sdPCIHw?usp=drive_link" TargetMode="External"/><Relationship Id="rId74" Type="http://schemas.openxmlformats.org/officeDocument/2006/relationships/hyperlink" Target="https://drive.google.com/drive/folders/1X13RgEr3Aj6fEA-I59l8pYLNxDPbdlNu?usp=drive_link" TargetMode="External"/><Relationship Id="rId77" Type="http://schemas.openxmlformats.org/officeDocument/2006/relationships/hyperlink" Target="https://drive.google.com/file/d/1nVX8Gsd26OAFUV4LxZo5zPfqkXXTnwie/view?usp=drive_link" TargetMode="External"/><Relationship Id="rId76" Type="http://schemas.openxmlformats.org/officeDocument/2006/relationships/hyperlink" Target="https://drive.google.com/file/d/1XYSsVo2HcSYYByDezRLUTQgHeksbkSW-/view?usp=drive_link" TargetMode="External"/><Relationship Id="rId79" Type="http://schemas.openxmlformats.org/officeDocument/2006/relationships/hyperlink" Target="https://drive.google.com/file/d/1GqRuveEM84sVzA1H2-vUoGgzfsLaBAAl/view?usp=drive_link" TargetMode="External"/><Relationship Id="rId78" Type="http://schemas.openxmlformats.org/officeDocument/2006/relationships/hyperlink" Target="https://drive.google.com/file/d/1vb5P2XEKeTw6wI34eY9d7Vrk_akbYSXF/view?usp=drive_link" TargetMode="External"/><Relationship Id="rId71" Type="http://schemas.openxmlformats.org/officeDocument/2006/relationships/hyperlink" Target="https://drive.google.com/file/d/1gHoxPjmBfCl6nbxWiv5Mm309BcDHabkF/view?usp=drive_link" TargetMode="External"/><Relationship Id="rId70" Type="http://schemas.openxmlformats.org/officeDocument/2006/relationships/hyperlink" Target="https://drive.google.com/file/d/1tnpGAQKA_attqwbprYNCo5P65LBuvlJJ/view?usp=drive_link" TargetMode="External"/><Relationship Id="rId62" Type="http://schemas.openxmlformats.org/officeDocument/2006/relationships/hyperlink" Target="https://drive.google.com/drive/folders/13KyJjOtZlLi3axZDg67vgv4UKhsH8n8G?usp=drive_link" TargetMode="External"/><Relationship Id="rId61" Type="http://schemas.openxmlformats.org/officeDocument/2006/relationships/hyperlink" Target="https://drive.google.com/drive/folders/1Ie98G3hpmvgGndiocL7fuDpdLTdjbMqJ?usp=drive_link" TargetMode="External"/><Relationship Id="rId64" Type="http://schemas.openxmlformats.org/officeDocument/2006/relationships/hyperlink" Target="https://drive.google.com/file/d/1NrkGKxaKuerxKhQtZx-9rvSKcwbnXdKg/view?usp=drive_link" TargetMode="External"/><Relationship Id="rId63" Type="http://schemas.openxmlformats.org/officeDocument/2006/relationships/hyperlink" Target="https://drive.google.com/drive/folders/1tasOtsF3ccRoaQgJCCZkb3CAKUHMhQyw?usp=drive_link" TargetMode="External"/><Relationship Id="rId66" Type="http://schemas.openxmlformats.org/officeDocument/2006/relationships/hyperlink" Target="https://drive.google.com/file/d/11oJlfzjEa1zoZR9VPNhsUSsAHQoACdIc/view?usp=drive_link" TargetMode="External"/><Relationship Id="rId65" Type="http://schemas.openxmlformats.org/officeDocument/2006/relationships/hyperlink" Target="https://drive.google.com/file/d/17c7McW9gjRXCuESfGPPqyVSAkZ7nyXpt/view?usp=drive_link" TargetMode="External"/><Relationship Id="rId68" Type="http://schemas.openxmlformats.org/officeDocument/2006/relationships/hyperlink" Target="https://drive.google.com/file/d/1jhhK31fReFc_QNLzEydfD5vvucjuv2QR/view?usp=drive_link" TargetMode="External"/><Relationship Id="rId67" Type="http://schemas.openxmlformats.org/officeDocument/2006/relationships/hyperlink" Target="https://drive.google.com/file/d/1lTCCpPeNi63lyW6O-wbImxZPxgcPjK2t/view?usp=drive_link" TargetMode="External"/><Relationship Id="rId60" Type="http://schemas.openxmlformats.org/officeDocument/2006/relationships/hyperlink" Target="https://drive.google.com/drive/folders/13_yqx2WldWMpte2bPBandZw4WuqfMrn7?usp=drive_link" TargetMode="External"/><Relationship Id="rId69" Type="http://schemas.openxmlformats.org/officeDocument/2006/relationships/hyperlink" Target="https://drive.google.com/file/d/1nW7wdTtlklVWSjWZybIsRkryD4qHXNca/view?usp=drive_link" TargetMode="External"/><Relationship Id="rId51" Type="http://schemas.openxmlformats.org/officeDocument/2006/relationships/hyperlink" Target="https://drive.google.com/file/d/1HBMl23ZwJhbhXgiB_PP0FolKOv0jeJHy/view?usp=drive_link" TargetMode="External"/><Relationship Id="rId50" Type="http://schemas.openxmlformats.org/officeDocument/2006/relationships/hyperlink" Target="https://drive.google.com/file/d/16LwtW0ODsOulwYzgaXAlLWoVyV0xauOH/view?usp=drive_link" TargetMode="External"/><Relationship Id="rId53" Type="http://schemas.openxmlformats.org/officeDocument/2006/relationships/hyperlink" Target="https://drive.google.com/file/d/1u6kwARkEZyKTJn5DOHWHWsztmhtlw9mM/view?usp=drive_link" TargetMode="External"/><Relationship Id="rId52" Type="http://schemas.openxmlformats.org/officeDocument/2006/relationships/hyperlink" Target="https://drive.google.com/file/d/1f9yZCNmt0gl0i1LjgiGiG055u4IVISDg/view?usp=drive_link" TargetMode="External"/><Relationship Id="rId55" Type="http://schemas.openxmlformats.org/officeDocument/2006/relationships/hyperlink" Target="https://drive.google.com/drive/folders/1gFSinYS6Q51DEcyNnkzQ6NTtfM1LNWSe?usp=drive_link" TargetMode="External"/><Relationship Id="rId54" Type="http://schemas.openxmlformats.org/officeDocument/2006/relationships/hyperlink" Target="https://drive.google.com/drive/folders/1sij4QGRPeE-n6DCW-jvStFc2CH8F94YM?usp=drive_link" TargetMode="External"/><Relationship Id="rId57" Type="http://schemas.openxmlformats.org/officeDocument/2006/relationships/hyperlink" Target="https://drive.google.com/drive/folders/1qy-jFblyLdJFEqj4x7M6VQ4_Xiqym_nd?usp=drive_link" TargetMode="External"/><Relationship Id="rId56" Type="http://schemas.openxmlformats.org/officeDocument/2006/relationships/hyperlink" Target="https://drive.google.com/drive/folders/1YvR2iy70WhanDCJQoo8yP_WJrNunLAc3?usp=drive_link" TargetMode="External"/><Relationship Id="rId59" Type="http://schemas.openxmlformats.org/officeDocument/2006/relationships/hyperlink" Target="https://drive.google.com/file/d/1RHc6jIitxLmBFAYBpmRcCTcBjINjHZN-/view?usp=drive_link" TargetMode="External"/><Relationship Id="rId58" Type="http://schemas.openxmlformats.org/officeDocument/2006/relationships/hyperlink" Target="https://drive.google.com/file/d/1YNVXQn6lI1T1fIvauAu-R81TdjSCEo7h/view?usp=drive_link"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google.com/document/d/1NnIVSYi-YDLsy81jZxW5g9nf2FmoktyJ/edit?usp=drive_link&amp;ouid=102607062102214807416&amp;rtpof=true&amp;sd=true" TargetMode="External"/><Relationship Id="rId42" Type="http://schemas.openxmlformats.org/officeDocument/2006/relationships/hyperlink" Target="https://docs.google.com/document/d/1RDQtRNYWUMB1er3oVZtRROM0nOh2Nc_A/edit?usp=drive_link&amp;ouid=102607062102214807416&amp;rtpof=true&amp;sd=true" TargetMode="External"/><Relationship Id="rId41" Type="http://schemas.openxmlformats.org/officeDocument/2006/relationships/hyperlink" Target="https://drive.google.com/file/d/1SDAJ1EVKeuWUCpO2jK9XJSh0C3HQ5CCu/view?usp=drive_link" TargetMode="External"/><Relationship Id="rId44" Type="http://schemas.openxmlformats.org/officeDocument/2006/relationships/hyperlink" Target="https://docs.google.com/document/d/1QmicpE0lr97EXeOObzjg7G6rtzjS53E3/edit?usp=drive_link&amp;ouid=102607062102214807416&amp;rtpof=true&amp;sd=true" TargetMode="External"/><Relationship Id="rId43" Type="http://schemas.openxmlformats.org/officeDocument/2006/relationships/hyperlink" Target="https://drive.google.com/file/d/1JqVTpJtoBF4NxOIdb3hOyrCrKtoNRj_L/view?usp=drive_link" TargetMode="External"/><Relationship Id="rId46" Type="http://schemas.openxmlformats.org/officeDocument/2006/relationships/hyperlink" Target="https://docs.google.com/document/d/1EaXt_qES8irhbJQPYVF91MFab77OCFFQ/edit?usp=drive_link&amp;ouid=102607062102214807416&amp;rtpof=true&amp;sd=true" TargetMode="External"/><Relationship Id="rId45" Type="http://schemas.openxmlformats.org/officeDocument/2006/relationships/hyperlink" Target="https://drive.google.com/file/d/12re58PG4EzYTXE_ERbnSuHua3fLPuY1h/view?usp=drive_link" TargetMode="External"/><Relationship Id="rId107" Type="http://schemas.openxmlformats.org/officeDocument/2006/relationships/hyperlink" Target="https://docs.google.com/document/d/1t9DGzl93hjBqJ52kEJzOYRtreEAlFqwV/edit?usp=drive_link&amp;ouid=102607062102214807416&amp;rtpof=true&amp;sd=true" TargetMode="External"/><Relationship Id="rId106" Type="http://schemas.openxmlformats.org/officeDocument/2006/relationships/hyperlink" Target="https://docs.google.com/document/d/1DPBfjEcu9MxcP-5knrEISiBQrAMnNjnW/edit?usp=drive_link&amp;ouid=102607062102214807416&amp;rtpof=true&amp;sd=true" TargetMode="External"/><Relationship Id="rId105" Type="http://schemas.openxmlformats.org/officeDocument/2006/relationships/hyperlink" Target="https://drive.google.com/file/d/1ikp7mYnhwRAhO0IxXFEnHgNn7VmUqx1f/view?usp=drive_link" TargetMode="External"/><Relationship Id="rId104" Type="http://schemas.openxmlformats.org/officeDocument/2006/relationships/hyperlink" Target="https://drive.google.com/file/d/1HxU1o4_ZRBIZEE5kyUpdYU8mKvYFkLuX/view?usp=drive_link" TargetMode="External"/><Relationship Id="rId109" Type="http://schemas.openxmlformats.org/officeDocument/2006/relationships/hyperlink" Target="https://drive.google.com/file/d/1xOKpxx1prJ_kdnAEyaGM68-SP08_hMBI/view?usp=drive_link" TargetMode="External"/><Relationship Id="rId108" Type="http://schemas.openxmlformats.org/officeDocument/2006/relationships/hyperlink" Target="https://drive.google.com/file/d/1WgeR6TmaNS-OCDn92JYGBwAMaIseh_EN/view?usp=drive_link" TargetMode="External"/><Relationship Id="rId48" Type="http://schemas.openxmlformats.org/officeDocument/2006/relationships/hyperlink" Target="https://docs.google.com/document/d/1cE4ktaXVJqrmkPNt1ylwCBwtmKxhUzgp/edit?usp=drive_link&amp;ouid=102607062102214807416&amp;rtpof=true&amp;sd=true" TargetMode="External"/><Relationship Id="rId47" Type="http://schemas.openxmlformats.org/officeDocument/2006/relationships/hyperlink" Target="https://drive.google.com/file/d/13xuEewHOu0-mokU5m2P40MPMhvLArVXm/view?usp=drive_link" TargetMode="External"/><Relationship Id="rId49" Type="http://schemas.openxmlformats.org/officeDocument/2006/relationships/hyperlink" Target="https://drive.google.com/file/d/1fTMIdGQaFJG15B-8ZxCvM0yITTqPI1gw/view?usp=drive_link" TargetMode="External"/><Relationship Id="rId103" Type="http://schemas.openxmlformats.org/officeDocument/2006/relationships/hyperlink" Target="https://drive.google.com/file/d/1kIahkOlkl3B7NpVkl529wdqqSmrkuixo/view?usp=drive_link" TargetMode="External"/><Relationship Id="rId102" Type="http://schemas.openxmlformats.org/officeDocument/2006/relationships/hyperlink" Target="https://drive.google.com/file/d/16JjSQPTeWjidInlGB43CZd5OXswIdeoD/view?usp=drive_link" TargetMode="External"/><Relationship Id="rId101" Type="http://schemas.openxmlformats.org/officeDocument/2006/relationships/hyperlink" Target="https://drive.google.com/file/d/1JUnNub_0YdruEO4bq2GBLoFRhTGjpiux/view?usp=drive_link" TargetMode="External"/><Relationship Id="rId100" Type="http://schemas.openxmlformats.org/officeDocument/2006/relationships/hyperlink" Target="https://drive.google.com/file/d/1DrnaZy_RMT5sPyLXWfuF_9wWn_6hGPbj/view?usp=drive_link" TargetMode="External"/><Relationship Id="rId31" Type="http://schemas.openxmlformats.org/officeDocument/2006/relationships/hyperlink" Target="https://drive.google.com/file/d/18MbZrujR1vWa5YL2mq_hEVNke-9HNf3_/view?usp=drive_link" TargetMode="External"/><Relationship Id="rId30" Type="http://schemas.openxmlformats.org/officeDocument/2006/relationships/hyperlink" Target="https://drive.google.com/file/d/1322j71SjIcNA3ltMeF_-6k_TG4cbC--I/view?usp=drive_link" TargetMode="External"/><Relationship Id="rId33" Type="http://schemas.openxmlformats.org/officeDocument/2006/relationships/hyperlink" Target="https://drive.google.com/file/d/1Vxdt95wqG2jbjs3hU1YriV6VAlnlZNHA/view?usp=drive_link" TargetMode="External"/><Relationship Id="rId32" Type="http://schemas.openxmlformats.org/officeDocument/2006/relationships/hyperlink" Target="https://docs.google.com/document/d/15e1uPtRBXa0P_vS7xg_pni24SGerpi-H/edit?usp=drive_link&amp;ouid=102607062102214807416&amp;rtpof=true&amp;sd=true" TargetMode="External"/><Relationship Id="rId35" Type="http://schemas.openxmlformats.org/officeDocument/2006/relationships/hyperlink" Target="https://docs.google.com/document/d/1nJuBrKTmCfbppXNK6rSmTdtDx8jOKDFL/edit?usp=drive_link&amp;ouid=102607062102214807416&amp;rtpof=true&amp;sd=true" TargetMode="External"/><Relationship Id="rId34" Type="http://schemas.openxmlformats.org/officeDocument/2006/relationships/hyperlink" Target="https://drive.google.com/file/d/1edPtTFPCNj1k9I2hdav2SPTMNmyJU_x8/view?usp=drive_link" TargetMode="External"/><Relationship Id="rId37" Type="http://schemas.openxmlformats.org/officeDocument/2006/relationships/hyperlink" Target="https://docs.google.com/document/d/1mBQEIahA1mc79gPzzsViDCDndQermqgb/edit?usp=drive_link&amp;ouid=102607062102214807416&amp;rtpof=true&amp;sd=true" TargetMode="External"/><Relationship Id="rId36" Type="http://schemas.openxmlformats.org/officeDocument/2006/relationships/hyperlink" Target="https://drive.google.com/file/d/1iYqGU9Nyr0Ahgv7uWVW45MGJ0wBxTRu5/view?usp=drive_link" TargetMode="External"/><Relationship Id="rId39" Type="http://schemas.openxmlformats.org/officeDocument/2006/relationships/hyperlink" Target="https://drive.google.com/file/d/1rIWKwfVjrxZu77gO-gIdkkiDX9jN7yd9/view?usp=drive_link" TargetMode="External"/><Relationship Id="rId38" Type="http://schemas.openxmlformats.org/officeDocument/2006/relationships/hyperlink" Target="https://drive.google.com/file/d/1nUDkaJC8z9vXhYE0FFRG0Os-7z1Eeaic/view?usp=drive_link" TargetMode="External"/><Relationship Id="rId20" Type="http://schemas.openxmlformats.org/officeDocument/2006/relationships/hyperlink" Target="https://drive.google.com/file/d/1wqsqDt1qgs1EU4FUiB0ejA0tTYTvM1C7/view?usp=drive_link" TargetMode="External"/><Relationship Id="rId22" Type="http://schemas.openxmlformats.org/officeDocument/2006/relationships/hyperlink" Target="https://drive.google.com/file/d/1HNdlVvx7uJ-naaMr145ClNp0LsoGO-dx/view?usp=drive_link" TargetMode="External"/><Relationship Id="rId21" Type="http://schemas.openxmlformats.org/officeDocument/2006/relationships/hyperlink" Target="https://docs.google.com/document/d/1mqrxpFQmQnywy5EGLT3mgBCkH6jOHh1a/edit?usp=drive_link&amp;ouid=102607062102214807416&amp;rtpof=true&amp;sd=true" TargetMode="External"/><Relationship Id="rId24" Type="http://schemas.openxmlformats.org/officeDocument/2006/relationships/hyperlink" Target="https://docs.google.com/document/d/1TkZ50Nb77pZEXDsEV4_aF9QCn8epGlHR/edit?usp=drive_link&amp;ouid=102607062102214807416&amp;rtpof=true&amp;sd=true" TargetMode="External"/><Relationship Id="rId23" Type="http://schemas.openxmlformats.org/officeDocument/2006/relationships/hyperlink" Target="https://drive.google.com/file/d/1kIaRagpRE6qpxBqP5GQqCPmem9GXiOLS/view?usp=drive_link" TargetMode="External"/><Relationship Id="rId129" Type="http://schemas.openxmlformats.org/officeDocument/2006/relationships/hyperlink" Target="https://drive.google.com/file/d/1aYV8BIXy9O7EEM4-D3BD5bSHrqPId6tg/view?usp=drive_link" TargetMode="External"/><Relationship Id="rId128" Type="http://schemas.openxmlformats.org/officeDocument/2006/relationships/hyperlink" Target="https://docs.google.com/document/d/1HGSwQMTgyq4iw6Aa8uH_IQUpuTKtk-QY/edit?usp=drive_link&amp;ouid=102607062102214807416&amp;rtpof=true&amp;sd=true" TargetMode="External"/><Relationship Id="rId127" Type="http://schemas.openxmlformats.org/officeDocument/2006/relationships/hyperlink" Target="https://drive.google.com/file/d/1yZhNgL9PyDAyh-2c0V5lDkH2eJXY2gM-/view?usp=drive_link" TargetMode="External"/><Relationship Id="rId126" Type="http://schemas.openxmlformats.org/officeDocument/2006/relationships/hyperlink" Target="https://docs.google.com/document/d/1xLAoui_wtZs5czO_NWsMjN_i-WX3lj_j/edit?usp=drive_link&amp;ouid=115767868987552221244&amp;rtpof=true&amp;sd=true" TargetMode="External"/><Relationship Id="rId26" Type="http://schemas.openxmlformats.org/officeDocument/2006/relationships/hyperlink" Target="https://docs.google.com/document/d/14Lom0FRlMktw5tjetxsTg0UCIgmLZKnl/edit?usp=drive_link&amp;ouid=102607062102214807416&amp;rtpof=true&amp;sd=true" TargetMode="External"/><Relationship Id="rId121" Type="http://schemas.openxmlformats.org/officeDocument/2006/relationships/hyperlink" Target="https://drive.google.com/drive/folders/1qv_QzdeCSeUGhG3mDVWhE5W5RUBaq3P3?usp=drive_link" TargetMode="External"/><Relationship Id="rId25" Type="http://schemas.openxmlformats.org/officeDocument/2006/relationships/hyperlink" Target="https://drive.google.com/file/d/1bin1867W7UfeS5XTw2_3bQFf4sl2Uoxb/view?usp=drive_link" TargetMode="External"/><Relationship Id="rId120" Type="http://schemas.openxmlformats.org/officeDocument/2006/relationships/hyperlink" Target="https://drive.google.com/file/d/1cZs4PJ4669bSRCUncEr4pEIK8B4-I7EF/view?usp=drive_link" TargetMode="External"/><Relationship Id="rId28" Type="http://schemas.openxmlformats.org/officeDocument/2006/relationships/hyperlink" Target="https://drive.google.com/file/d/18MbZrujR1vWa5YL2mq_hEVNke-9HNf3_/view?usp=drive_link" TargetMode="External"/><Relationship Id="rId27" Type="http://schemas.openxmlformats.org/officeDocument/2006/relationships/hyperlink" Target="https://drive.google.com/drive/folders/1AUYilHvrhL09x0GonKyOPohQwtDD5h8T?usp=drive_link" TargetMode="External"/><Relationship Id="rId125" Type="http://schemas.openxmlformats.org/officeDocument/2006/relationships/hyperlink" Target="https://drive.google.com/file/d/1F6EE377Q4VqnJcj3QiB3If1-FVhT_ni_/view?usp=sharing" TargetMode="External"/><Relationship Id="rId29" Type="http://schemas.openxmlformats.org/officeDocument/2006/relationships/hyperlink" Target="https://docs.google.com/document/d/1R8Y3EzmQPquxS3WmxmvjOGnVMHPsP4bt/edit?usp=drive_link&amp;ouid=102607062102214807416&amp;rtpof=true&amp;sd=true" TargetMode="External"/><Relationship Id="rId124" Type="http://schemas.openxmlformats.org/officeDocument/2006/relationships/hyperlink" Target="https://drive.google.com/file/d/1NuyA-nw3up5013STDR5b-AuoFgAwpUt1/view?usp=drive_link" TargetMode="External"/><Relationship Id="rId123" Type="http://schemas.openxmlformats.org/officeDocument/2006/relationships/hyperlink" Target="https://docs.google.com/document/d/1p6Nt5hRe9H41qeK3XB-iLUOnHycaoVVy/edit?usp=drive_link&amp;ouid=102607062102214807416&amp;rtpof=true&amp;sd=true" TargetMode="External"/><Relationship Id="rId122" Type="http://schemas.openxmlformats.org/officeDocument/2006/relationships/hyperlink" Target="https://drive.google.com/file/d/11_VC3VSNLfpbC63_CN5qLDVop5-NqCHr/view?usp=drive_link" TargetMode="External"/><Relationship Id="rId95" Type="http://schemas.openxmlformats.org/officeDocument/2006/relationships/hyperlink" Target="https://drive.google.com/file/d/1eqM3-7oWumZDQCfq2ONxGgqhUNb7kO0M/view?usp=drive_link" TargetMode="External"/><Relationship Id="rId94" Type="http://schemas.openxmlformats.org/officeDocument/2006/relationships/hyperlink" Target="https://drive.google.com/file/d/1D3IhwqtEvfv1J8AGS21ajK-kCDzKFt1j/view?usp=drive_link" TargetMode="External"/><Relationship Id="rId97" Type="http://schemas.openxmlformats.org/officeDocument/2006/relationships/hyperlink" Target="https://drive.google.com/file/d/1GShJW1_0CHmgkv7pqyCVElWJfFbtsTOm/view?usp=drive_link" TargetMode="External"/><Relationship Id="rId96" Type="http://schemas.openxmlformats.org/officeDocument/2006/relationships/hyperlink" Target="https://drive.google.com/file/d/1DUx_gpFw0QFiwo5m92ZgQd0eCpPqg5c0/view?usp=drive_link" TargetMode="External"/><Relationship Id="rId11" Type="http://schemas.openxmlformats.org/officeDocument/2006/relationships/hyperlink" Target="https://drive.google.com/file/d/1eRW6Y6p46f_KXJpppBSmKzFhf8nW61na/view?usp=drive_link" TargetMode="External"/><Relationship Id="rId99" Type="http://schemas.openxmlformats.org/officeDocument/2006/relationships/hyperlink" Target="https://drive.google.com/drive/folders/1zmOi9aABfXBHf0MXPyUaPricqUU76ZYO?usp=drive_link" TargetMode="External"/><Relationship Id="rId10" Type="http://schemas.openxmlformats.org/officeDocument/2006/relationships/hyperlink" Target="https://drive.google.com/file/d/18iTeRDbZ5C2J22qZmt54MMQ5CL9EEbha/view?usp=drive_link" TargetMode="External"/><Relationship Id="rId98" Type="http://schemas.openxmlformats.org/officeDocument/2006/relationships/hyperlink" Target="https://drive.google.com/file/d/1voiCbeAe7AfuF1vi2-0kHU5LCL3_ecOK/view?usp=drive_link" TargetMode="External"/><Relationship Id="rId13" Type="http://schemas.openxmlformats.org/officeDocument/2006/relationships/hyperlink" Target="https://drive.google.com/drive/folders/1_sidlHPpijLKdxFi9JxDysCyKdo_ORY2?usp=drive_link" TargetMode="External"/><Relationship Id="rId12" Type="http://schemas.openxmlformats.org/officeDocument/2006/relationships/hyperlink" Target="https://docs.google.com/document/d/1PhiV9gPrJduFjZnJcgZnwgkaWL43HiMv/edit?usp=drive_link&amp;ouid=115767868987552221244&amp;rtpof=true&amp;sd=true" TargetMode="External"/><Relationship Id="rId91" Type="http://schemas.openxmlformats.org/officeDocument/2006/relationships/hyperlink" Target="https://drive.google.com/file/d/1fl4Z3gtfAK_D1dsOn9cGwe6lKgK-qY-1/view?usp=drive_link" TargetMode="External"/><Relationship Id="rId90" Type="http://schemas.openxmlformats.org/officeDocument/2006/relationships/hyperlink" Target="https://drive.google.com/file/d/1LLheSbQbKjar1upUzK5xHXe9gXAOqFku/view?usp=drive_link" TargetMode="External"/><Relationship Id="rId93" Type="http://schemas.openxmlformats.org/officeDocument/2006/relationships/hyperlink" Target="https://drive.google.com/file/d/1eox9dRH2zAiqqCasSElwGVA-NpqENZ4r/view?usp=drive_link" TargetMode="External"/><Relationship Id="rId92" Type="http://schemas.openxmlformats.org/officeDocument/2006/relationships/hyperlink" Target="https://drive.google.com/file/d/1tidEmB334ru1Zlv_x5m4LDoconR0MCLP/view?usp=drive_link" TargetMode="External"/><Relationship Id="rId118" Type="http://schemas.openxmlformats.org/officeDocument/2006/relationships/hyperlink" Target="https://drive.google.com/drive/folders/11uY7pDKh74pO8sLgX1yyyysa6NFoQSbs?usp=drive_link" TargetMode="External"/><Relationship Id="rId117" Type="http://schemas.openxmlformats.org/officeDocument/2006/relationships/hyperlink" Target="https://drive.google.com/file/d/1SsTn6VbHkM3qQD1M-iLt3OGvst1Wf4O-/view?usp=drive_link" TargetMode="External"/><Relationship Id="rId116" Type="http://schemas.openxmlformats.org/officeDocument/2006/relationships/hyperlink" Target="https://drive.google.com/file/d/1fORB7GKiNA8gsurhTcNlUHQDK1wV6skn/view?usp=drive_link" TargetMode="External"/><Relationship Id="rId115" Type="http://schemas.openxmlformats.org/officeDocument/2006/relationships/hyperlink" Target="https://drive.google.com/file/d/15-jeUwtfgoViMSkkLJzJOeIZdx4Muh4M/view?usp=sharing" TargetMode="External"/><Relationship Id="rId119" Type="http://schemas.openxmlformats.org/officeDocument/2006/relationships/hyperlink" Target="https://drive.google.com/file/d/1D7vjTw6t406jHw_d1G4wIsAG4X9K3ef2/view?usp=drive_link" TargetMode="External"/><Relationship Id="rId15" Type="http://schemas.openxmlformats.org/officeDocument/2006/relationships/hyperlink" Target="https://docs.google.com/document/d/1WvSkh4TXcs43ZgviuCiy4aJeq4IDhWG8/edit?usp=drive_link&amp;ouid=102607062102214807416&amp;rtpof=true&amp;sd=true" TargetMode="External"/><Relationship Id="rId110" Type="http://schemas.openxmlformats.org/officeDocument/2006/relationships/hyperlink" Target="https://drive.google.com/file/d/1sn_rPSbd-tyhK8RaVUUWKR16X8qBhICV/view?usp=drive_link" TargetMode="External"/><Relationship Id="rId14" Type="http://schemas.openxmlformats.org/officeDocument/2006/relationships/hyperlink" Target="https://drive.google.com/file/d/1KwO8o0wNNCyMCkV6XtwUACV4CTBs1PeA/view?usp=drive_link" TargetMode="External"/><Relationship Id="rId17" Type="http://schemas.openxmlformats.org/officeDocument/2006/relationships/hyperlink" Target="https://drive.google.com/file/d/19Re63u8SmscPXOLxiW36LTu7p5wMkHy9/view?usp=drive_link" TargetMode="External"/><Relationship Id="rId16" Type="http://schemas.openxmlformats.org/officeDocument/2006/relationships/hyperlink" Target="https://drive.google.com/file/d/1Veht5I3h02zgKY8dF_9UCj_M8acWdifT/view?usp=drive_link" TargetMode="External"/><Relationship Id="rId19" Type="http://schemas.openxmlformats.org/officeDocument/2006/relationships/hyperlink" Target="https://drive.google.com/file/d/154DTWLUa3AeFkDfOB17RopLQcff9uzSp/view?usp=drive_link" TargetMode="External"/><Relationship Id="rId114" Type="http://schemas.openxmlformats.org/officeDocument/2006/relationships/hyperlink" Target="https://drive.google.com/file/d/1TW6Cyf6cRHv21Q4cypok7Xnrq8R4aJkN/view?usp=drive_link" TargetMode="External"/><Relationship Id="rId18" Type="http://schemas.openxmlformats.org/officeDocument/2006/relationships/hyperlink" Target="https://docs.google.com/document/d/1ABL8AS9md6xjEk-GIremXFBfAa7PMvmO/edit?usp=drive_link&amp;ouid=102607062102214807416&amp;rtpof=true&amp;sd=true" TargetMode="External"/><Relationship Id="rId113" Type="http://schemas.openxmlformats.org/officeDocument/2006/relationships/hyperlink" Target="https://drive.google.com/file/d/1YktH-t9eKTMTm0h5X17otLtajrCr6KBf/view?usp=drive_link" TargetMode="External"/><Relationship Id="rId112" Type="http://schemas.openxmlformats.org/officeDocument/2006/relationships/hyperlink" Target="https://drive.google.com/file/d/1HVs1pT6yzBhB7PERzC8WMJELGq6jaIic/view?usp=drive_link" TargetMode="External"/><Relationship Id="rId111" Type="http://schemas.openxmlformats.org/officeDocument/2006/relationships/hyperlink" Target="https://drive.google.com/file/d/1A0r7gYQNqozmjBXt5GoN7QOSPMau5zGT/view?usp=drive_link" TargetMode="External"/><Relationship Id="rId84" Type="http://schemas.openxmlformats.org/officeDocument/2006/relationships/hyperlink" Target="https://drive.google.com/file/d/1aIRagWTHGhIiKG44NrRkWnLGkH3p4bON/view?usp=drive_link" TargetMode="External"/><Relationship Id="rId83" Type="http://schemas.openxmlformats.org/officeDocument/2006/relationships/hyperlink" Target="https://docs.google.com/document/d/1Oa1gQ3rUg4otR1cMRTejhv6OfXcxU713/edit?usp=drive_link&amp;ouid=102607062102214807416&amp;rtpof=true&amp;sd=true" TargetMode="External"/><Relationship Id="rId86" Type="http://schemas.openxmlformats.org/officeDocument/2006/relationships/hyperlink" Target="https://drive.google.com/file/d/12Fc5ue1oUWd3Jb4wcBAntSVJZENS5B8t/view?usp=drive_link" TargetMode="External"/><Relationship Id="rId85" Type="http://schemas.openxmlformats.org/officeDocument/2006/relationships/hyperlink" Target="https://docs.google.com/document/d/1bKtgrV8RT62S8Ui0uOm5bpmuKabP6lh4/edit?usp=drive_link&amp;ouid=102607062102214807416&amp;rtpof=true&amp;sd=true" TargetMode="External"/><Relationship Id="rId88" Type="http://schemas.openxmlformats.org/officeDocument/2006/relationships/hyperlink" Target="https://docs.google.com/document/d/1I84wlWetVXfFj6UYOCGln1Esfg4O2wfJ/edit?usp=drive_link&amp;ouid=102607062102214807416&amp;rtpof=true&amp;sd=true" TargetMode="External"/><Relationship Id="rId87" Type="http://schemas.openxmlformats.org/officeDocument/2006/relationships/hyperlink" Target="https://drive.google.com/file/d/1PGcVrntPDCIV-6Voo3Q2pGQQudwlcTbn/view?usp=drive_link" TargetMode="External"/><Relationship Id="rId89" Type="http://schemas.openxmlformats.org/officeDocument/2006/relationships/hyperlink" Target="https://drive.google.com/file/d/1knGlu36kGOdVkHkrwL97WmiWUff7H_xZ/view?usp=drive_link" TargetMode="External"/><Relationship Id="rId80" Type="http://schemas.openxmlformats.org/officeDocument/2006/relationships/hyperlink" Target="https://docs.google.com/document/d/1wqKRU5mHuIzaoXN87HgOtIlr01azT5cL/edit?usp=drive_link&amp;ouid=102607062102214807416&amp;rtpof=true&amp;sd=true" TargetMode="External"/><Relationship Id="rId82" Type="http://schemas.openxmlformats.org/officeDocument/2006/relationships/hyperlink" Target="https://docs.google.com/document/d/1Oa1gQ3rUg4otR1cMRTejhv6OfXcxU713/edit?usp=drive_link&amp;ouid=102607062102214807416&amp;rtpof=true&amp;sd=true" TargetMode="External"/><Relationship Id="rId81" Type="http://schemas.openxmlformats.org/officeDocument/2006/relationships/hyperlink" Target="https://drive.google.com/file/d/1aFSlBDI_hQDHqLYdtarEoLfqIqvI1ivk/view?usp=drive_link" TargetMode="External"/><Relationship Id="rId1" Type="http://schemas.openxmlformats.org/officeDocument/2006/relationships/comments" Target="../comments2.xml"/><Relationship Id="rId2" Type="http://schemas.openxmlformats.org/officeDocument/2006/relationships/hyperlink" Target="https://drive.google.com/drive/folders/1es-u_sWjD-tdtS37TtLQ43Dp1DWxQ4ul?usp=drive_link" TargetMode="External"/><Relationship Id="rId3" Type="http://schemas.openxmlformats.org/officeDocument/2006/relationships/hyperlink" Target="https://drive.google.com/file/d/1lPnEp8DEEXACLt5akOWq7xI3mQ7mq_Vt/view?usp=sharing" TargetMode="External"/><Relationship Id="rId4" Type="http://schemas.openxmlformats.org/officeDocument/2006/relationships/hyperlink" Target="https://drive.google.com/file/d/1sSnwTiZ1ueuwypLBAKLFNQesCIxYvtuG/view?usp=drive_link" TargetMode="External"/><Relationship Id="rId9" Type="http://schemas.openxmlformats.org/officeDocument/2006/relationships/hyperlink" Target="https://docs.google.com/document/d/1cfNQNCQEcZtW5cZztxruNNq-tEQkc3P4/edit?usp=drive_link&amp;ouid=102607062102214807416&amp;rtpof=true&amp;sd=true" TargetMode="External"/><Relationship Id="rId5" Type="http://schemas.openxmlformats.org/officeDocument/2006/relationships/hyperlink" Target="https://drive.google.com/file/d/1sKkF3Y1POl2p8c6El668CwB1fSXvXd5-/view?usp=drive_link" TargetMode="External"/><Relationship Id="rId6" Type="http://schemas.openxmlformats.org/officeDocument/2006/relationships/hyperlink" Target="https://drive.google.com/file/d/1EyG1lrLZKbjp_GJdAy7RbBk5HFkcfXqy/view?usp=drive_link" TargetMode="External"/><Relationship Id="rId7" Type="http://schemas.openxmlformats.org/officeDocument/2006/relationships/hyperlink" Target="https://docs.google.com/document/d/1D8yJGp2z_81Nh9deVqORK0J3zLatVswL/edit?usp=drive_link&amp;ouid=102607062102214807416&amp;rtpof=true&amp;sd=true" TargetMode="External"/><Relationship Id="rId8" Type="http://schemas.openxmlformats.org/officeDocument/2006/relationships/hyperlink" Target="https://drive.google.com/file/d/1KXJJsoOA6W6TUwCBkO2Bajk7SUGT3aLb/view?usp=drive_link" TargetMode="External"/><Relationship Id="rId73" Type="http://schemas.openxmlformats.org/officeDocument/2006/relationships/hyperlink" Target="https://drive.google.com/file/d/10XaIhx6xSTk3XMG4mJ8542p2wXOxpIF3/view?usp=drive_link" TargetMode="External"/><Relationship Id="rId72" Type="http://schemas.openxmlformats.org/officeDocument/2006/relationships/hyperlink" Target="https://drive.google.com/file/d/1gHz6D38Xqm3yf7Qk4stNWkZkSKyl6QXa/view?usp=drive_link" TargetMode="External"/><Relationship Id="rId75" Type="http://schemas.openxmlformats.org/officeDocument/2006/relationships/hyperlink" Target="https://drive.google.com/file/d/1_j4nF2rYarnfgQMzdwBxakvNPT-bYeX4/view?usp=drive_link" TargetMode="External"/><Relationship Id="rId74" Type="http://schemas.openxmlformats.org/officeDocument/2006/relationships/hyperlink" Target="https://drive.google.com/file/d/11pxekjQ8T2EIv1nd50gqPtCUY7n2N0so/view?usp=drive_link" TargetMode="External"/><Relationship Id="rId77" Type="http://schemas.openxmlformats.org/officeDocument/2006/relationships/hyperlink" Target="https://drive.google.com/file/d/1wHdYxwmYmg2xR6mVzhGLuNUNl9M1N5eB/view?usp=drive_link" TargetMode="External"/><Relationship Id="rId76" Type="http://schemas.openxmlformats.org/officeDocument/2006/relationships/hyperlink" Target="https://drive.google.com/file/d/1lLlyziTAn2uXGBY32lC8uex8tNdhi2DR/view?usp=drive_link" TargetMode="External"/><Relationship Id="rId79" Type="http://schemas.openxmlformats.org/officeDocument/2006/relationships/hyperlink" Target="https://docs.google.com/document/d/1wqKRU5mHuIzaoXN87HgOtIlr01azT5cL/edit?usp=drive_link&amp;ouid=102607062102214807416&amp;rtpof=true&amp;sd=true" TargetMode="External"/><Relationship Id="rId78" Type="http://schemas.openxmlformats.org/officeDocument/2006/relationships/hyperlink" Target="https://drive.google.com/file/d/16KuPi9bQodfk9N-morYPTiqovueR7Wi6/view?usp=drive_link" TargetMode="External"/><Relationship Id="rId71" Type="http://schemas.openxmlformats.org/officeDocument/2006/relationships/hyperlink" Target="https://drive.google.com/file/d/1oBac51Iz7fbfJ0sP1kQSHc4hC5ycDiSB/view?usp=drive_link" TargetMode="External"/><Relationship Id="rId70" Type="http://schemas.openxmlformats.org/officeDocument/2006/relationships/hyperlink" Target="https://drive.google.com/file/d/1nxR9XxWPiieVqtmb4kXKL-5vtS0WEJAW/view?usp=drive_link" TargetMode="External"/><Relationship Id="rId132" Type="http://schemas.openxmlformats.org/officeDocument/2006/relationships/drawing" Target="../drawings/drawing2.xml"/><Relationship Id="rId131" Type="http://schemas.openxmlformats.org/officeDocument/2006/relationships/hyperlink" Target="https://drive.google.com/file/d/1xMr-0uEDT_N0NUqR3-B6s67M6l09ce8k/view?usp=drive_link" TargetMode="External"/><Relationship Id="rId130" Type="http://schemas.openxmlformats.org/officeDocument/2006/relationships/hyperlink" Target="https://drive.google.com/file/d/1qODWsAfR4v7vwQr4se6zIo2Ai9ehdi6V/view?usp=sharing" TargetMode="External"/><Relationship Id="rId133" Type="http://schemas.openxmlformats.org/officeDocument/2006/relationships/vmlDrawing" Target="../drawings/vmlDrawing2.vml"/><Relationship Id="rId62" Type="http://schemas.openxmlformats.org/officeDocument/2006/relationships/hyperlink" Target="https://drive.google.com/file/d/19CuCYWJ3F69Lz7pMFVqK4g-FRB5BTFp1/view?usp=drive_link" TargetMode="External"/><Relationship Id="rId61" Type="http://schemas.openxmlformats.org/officeDocument/2006/relationships/hyperlink" Target="https://drive.google.com/file/d/15FKZxf0FUXaHN-H7YwhdUj5oSx5MpgfV/view?usp=drive_link" TargetMode="External"/><Relationship Id="rId64" Type="http://schemas.openxmlformats.org/officeDocument/2006/relationships/hyperlink" Target="https://drive.google.com/file/d/1SF7fbevIQpaGjo6Q5Oz_1vJie8Kosx8P/view?usp=drive_link" TargetMode="External"/><Relationship Id="rId63" Type="http://schemas.openxmlformats.org/officeDocument/2006/relationships/hyperlink" Target="https://drive.google.com/file/d/1tr2dUTfMhG4SIZwpudDnufk7raJiON9N/view?usp=drive_link" TargetMode="External"/><Relationship Id="rId66" Type="http://schemas.openxmlformats.org/officeDocument/2006/relationships/hyperlink" Target="https://drive.google.com/file/d/1_rJhrhT2fQDriesN3fhrnOO4C0Nejslz/view?usp=drive_link" TargetMode="External"/><Relationship Id="rId65" Type="http://schemas.openxmlformats.org/officeDocument/2006/relationships/hyperlink" Target="https://drive.google.com/file/d/1QJQkHUXUni9V-W5OLN0SmYHsXwGDWfku/view?usp=drive_link" TargetMode="External"/><Relationship Id="rId68" Type="http://schemas.openxmlformats.org/officeDocument/2006/relationships/hyperlink" Target="https://drive.google.com/file/d/1PWqHXgv0R-u0fQy-B6zEgtAQqVq4z2Kw/view?usp=drive_link" TargetMode="External"/><Relationship Id="rId67" Type="http://schemas.openxmlformats.org/officeDocument/2006/relationships/hyperlink" Target="https://drive.google.com/file/d/1VNZSgWeC3HvWiyxTzwMU-STG1aOiDtP8/view?usp=drive_link" TargetMode="External"/><Relationship Id="rId60" Type="http://schemas.openxmlformats.org/officeDocument/2006/relationships/hyperlink" Target="https://drive.google.com/file/d/11GRZm6_JL5gRUvrGvjC3f4pvBZYTIsyH/view?usp=drive_link" TargetMode="External"/><Relationship Id="rId69" Type="http://schemas.openxmlformats.org/officeDocument/2006/relationships/hyperlink" Target="https://drive.google.com/file/d/1ewZiHIH0XFleWotgOs3ZwJSkQBS-KDjt/view?usp=drive_link" TargetMode="External"/><Relationship Id="rId51" Type="http://schemas.openxmlformats.org/officeDocument/2006/relationships/hyperlink" Target="https://docs.google.com/document/d/1nyoEBfEEhjFGg6NUNB7lQx76vILCvdju/edit?usp=drive_link&amp;ouid=115767868987552221244&amp;rtpof=true&amp;sd=true" TargetMode="External"/><Relationship Id="rId50" Type="http://schemas.openxmlformats.org/officeDocument/2006/relationships/hyperlink" Target="https://docs.google.com/document/d/1i3kd7gPY5c6lOJR_rPJ_mnpQ7TFMFwYf/edit?usp=drive_link&amp;ouid=115767868987552221244&amp;rtpof=true&amp;sd=true" TargetMode="External"/><Relationship Id="rId53" Type="http://schemas.openxmlformats.org/officeDocument/2006/relationships/hyperlink" Target="https://drive.google.com/file/d/1efLgffo6T6tSq8AsOPQAuWTWQqn_QyMM/view?usp=drive_link" TargetMode="External"/><Relationship Id="rId52" Type="http://schemas.openxmlformats.org/officeDocument/2006/relationships/hyperlink" Target="https://drive.google.com/file/d/1qB9pr7eWAkspmtGAJSQ6oHpU2KYS98JX/view?usp=drive_link" TargetMode="External"/><Relationship Id="rId55" Type="http://schemas.openxmlformats.org/officeDocument/2006/relationships/hyperlink" Target="https://drive.google.com/file/d/1RvWkk_usk5SAPRm3mjeXoTc2Uvt5E1Hj/view?usp=drive_link" TargetMode="External"/><Relationship Id="rId54" Type="http://schemas.openxmlformats.org/officeDocument/2006/relationships/hyperlink" Target="https://drive.google.com/file/d/1Jwf76HMZIvgdBiz_5hu5UQpifM6H-Apn/view?usp=drive_link" TargetMode="External"/><Relationship Id="rId57" Type="http://schemas.openxmlformats.org/officeDocument/2006/relationships/hyperlink" Target="https://drive.google.com/file/d/1RhDoclOOz_2gWy3yWh8119Mi1gz_YhDZ/view?usp=drive_link" TargetMode="External"/><Relationship Id="rId56" Type="http://schemas.openxmlformats.org/officeDocument/2006/relationships/hyperlink" Target="https://drive.google.com/file/d/1JyfpvGCWpKb47OQYy6_IX1cx8WzYWDmM/view?usp=drive_link" TargetMode="External"/><Relationship Id="rId59" Type="http://schemas.openxmlformats.org/officeDocument/2006/relationships/hyperlink" Target="https://drive.google.com/file/d/1DGHO6F72zqAOmBbpDpy5RjfgQcDmcmcm/view?usp=drive_link" TargetMode="External"/><Relationship Id="rId58" Type="http://schemas.openxmlformats.org/officeDocument/2006/relationships/hyperlink" Target="https://drive.google.com/file/d/1ZtOq36heg2KjaqDUSrP_hCE-iCozOXYK/view?usp=drive_link"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DhesXJ--6NFhziDtGL4SzNzTi_4GtDWv/view?usp=drive_link" TargetMode="External"/><Relationship Id="rId42" Type="http://schemas.openxmlformats.org/officeDocument/2006/relationships/hyperlink" Target="https://drive.google.com/file/d/1DhesXJ--6NFhziDtGL4SzNzTi_4GtDWv/view?usp=drive_link" TargetMode="External"/><Relationship Id="rId41" Type="http://schemas.openxmlformats.org/officeDocument/2006/relationships/hyperlink" Target="https://drive.google.com/file/d/1WaiZmW_LyVdOMNtOipPRE2Yl3Q3voBZv/view?usp=drive_link" TargetMode="External"/><Relationship Id="rId44" Type="http://schemas.openxmlformats.org/officeDocument/2006/relationships/hyperlink" Target="https://drive.google.com/file/d/1qjE7ADqF1hGXIb9_xaIKyQjc2pJkFzYu/view?usp=drive_link" TargetMode="External"/><Relationship Id="rId43" Type="http://schemas.openxmlformats.org/officeDocument/2006/relationships/hyperlink" Target="https://drive.google.com/file/d/1Hqqy28poIea_6wTvx34b70LSzA_GV91-/view?usp=drive_link" TargetMode="External"/><Relationship Id="rId46" Type="http://schemas.openxmlformats.org/officeDocument/2006/relationships/hyperlink" Target="https://drive.google.com/file/d/1cNQHvLRhxs_C1lhw4DA4re6kvM_43klV/view?usp=drive_link" TargetMode="External"/><Relationship Id="rId45" Type="http://schemas.openxmlformats.org/officeDocument/2006/relationships/hyperlink" Target="https://drive.google.com/file/d/1uwhRcEKStTay6dIsDKPPw2Gv9HqPOzqk/view?usp=drive_link" TargetMode="External"/><Relationship Id="rId48" Type="http://schemas.openxmlformats.org/officeDocument/2006/relationships/hyperlink" Target="https://drive.google.com/file/d/1nPtMuMfQEOcTkW2qU9YRUq_JCnlqsm4b/view?usp=drive_link" TargetMode="External"/><Relationship Id="rId47" Type="http://schemas.openxmlformats.org/officeDocument/2006/relationships/hyperlink" Target="https://drive.google.com/file/d/1KtCATD-022sR0PaRmIYbZERBbIPQk-kl/view?usp=drive_link" TargetMode="External"/><Relationship Id="rId49" Type="http://schemas.openxmlformats.org/officeDocument/2006/relationships/hyperlink" Target="https://drive.google.com/file/d/1UPXYvEwzmo2Yww4EfQJIvUyrhOz2HJtf/view?usp=drive_link" TargetMode="External"/><Relationship Id="rId31" Type="http://schemas.openxmlformats.org/officeDocument/2006/relationships/hyperlink" Target="https://drive.google.com/file/d/1_xQpvMs_Nm5WMUonYKUPLfB6d3Kkjwir/view?usp=drive_link" TargetMode="External"/><Relationship Id="rId30" Type="http://schemas.openxmlformats.org/officeDocument/2006/relationships/hyperlink" Target="https://drive.google.com/file/d/1TNoCrdXtFjPytOSHOri7bau-fgXYUS9B/view?usp=drive_link" TargetMode="External"/><Relationship Id="rId33" Type="http://schemas.openxmlformats.org/officeDocument/2006/relationships/hyperlink" Target="https://drive.google.com/file/d/1L37JMMQtDqmh3uAB9nyh1Dy1eUWZRzQJ/view?usp=drive_link" TargetMode="External"/><Relationship Id="rId32" Type="http://schemas.openxmlformats.org/officeDocument/2006/relationships/hyperlink" Target="https://drive.google.com/file/d/1x7tT_y-YHUMVNnP5-L69f-zcxl4dLt3A/view?usp=drive_link" TargetMode="External"/><Relationship Id="rId35" Type="http://schemas.openxmlformats.org/officeDocument/2006/relationships/hyperlink" Target="https://drive.google.com/file/d/1n5myvaG4QQGQou7Qus5tp7UltB_Kcn0C/view?usp=drive_link" TargetMode="External"/><Relationship Id="rId34" Type="http://schemas.openxmlformats.org/officeDocument/2006/relationships/hyperlink" Target="https://drive.google.com/file/d/1aJoI4qM6lFMRCrJtVo3AmhUHhtnDMEN2/view?usp=drive_link" TargetMode="External"/><Relationship Id="rId37" Type="http://schemas.openxmlformats.org/officeDocument/2006/relationships/hyperlink" Target="https://drive.google.com/file/d/1oUQyNw0YnJlAjH5j4SpjYjD-_ZNTxWUA/view?usp=drive_link" TargetMode="External"/><Relationship Id="rId36" Type="http://schemas.openxmlformats.org/officeDocument/2006/relationships/hyperlink" Target="https://drive.google.com/file/d/1I4rlYLspql5VUyyIqw7FWmysj_VR9Z7o/view?usp=drive_link" TargetMode="External"/><Relationship Id="rId39" Type="http://schemas.openxmlformats.org/officeDocument/2006/relationships/hyperlink" Target="https://drive.google.com/file/d/1WaiZmW_LyVdOMNtOipPRE2Yl3Q3voBZv/view?usp=drive_link" TargetMode="External"/><Relationship Id="rId38" Type="http://schemas.openxmlformats.org/officeDocument/2006/relationships/hyperlink" Target="https://drive.google.com/file/d/1VGkzPcxcVMAgdVQ_qpig4yOfvr8wtmQy/view?usp=drive_link" TargetMode="External"/><Relationship Id="rId20" Type="http://schemas.openxmlformats.org/officeDocument/2006/relationships/hyperlink" Target="https://drive.google.com/file/d/1w9_t--19R1Mz6LGJu28hS2l4xhFIiuM8/view?usp=drive_link" TargetMode="External"/><Relationship Id="rId22" Type="http://schemas.openxmlformats.org/officeDocument/2006/relationships/hyperlink" Target="https://docs.google.com/document/d/1JzeZuKNhsdj4mGEeyAjD07sCaziMwD23/edit?usp=drive_link&amp;ouid=115767868987552221244&amp;rtpof=true&amp;sd=true" TargetMode="External"/><Relationship Id="rId21" Type="http://schemas.openxmlformats.org/officeDocument/2006/relationships/hyperlink" Target="https://drive.google.com/file/d/1-Ozjfa03qlLJ1UxC1SaWaZmE7bQ7bBWW/view?usp=drive_link" TargetMode="External"/><Relationship Id="rId24" Type="http://schemas.openxmlformats.org/officeDocument/2006/relationships/hyperlink" Target="https://drive.google.com/file/d/1fXzCOXi_TBGHJl-ThpKZrTd6kpjBHeAg/view?usp=drive_link" TargetMode="External"/><Relationship Id="rId23" Type="http://schemas.openxmlformats.org/officeDocument/2006/relationships/hyperlink" Target="https://docs.google.com/document/d/1JzeZuKNhsdj4mGEeyAjD07sCaziMwD23/edit?usp=drive_link&amp;ouid=115767868987552221244&amp;rtpof=true&amp;sd=true" TargetMode="External"/><Relationship Id="rId26" Type="http://schemas.openxmlformats.org/officeDocument/2006/relationships/hyperlink" Target="https://docs.google.com/document/d/1wbYBO5pytfkY4oYRbIf64Sj6AV0Z2mnvR_7j-9qhXe0/edit?usp=sharing" TargetMode="External"/><Relationship Id="rId25" Type="http://schemas.openxmlformats.org/officeDocument/2006/relationships/hyperlink" Target="https://docs.google.com/document/d/10q0j8LhQdi0MoFVt0FoGDYOvTHi4-T1r/edit?usp=sharing&amp;ouid=102607062102214807416&amp;rtpof=true&amp;sd=true" TargetMode="External"/><Relationship Id="rId28" Type="http://schemas.openxmlformats.org/officeDocument/2006/relationships/hyperlink" Target="https://drive.google.com/file/d/1DLVpyWfpwx6hgWumtkgdQLZ8Y8I00nFD/view?usp=drive_link" TargetMode="External"/><Relationship Id="rId27" Type="http://schemas.openxmlformats.org/officeDocument/2006/relationships/hyperlink" Target="https://drive.google.com/file/d/1ck-NfoVpnhZ77j2nNa9Np300A905XIUQ/view?usp=drive_link" TargetMode="External"/><Relationship Id="rId29" Type="http://schemas.openxmlformats.org/officeDocument/2006/relationships/hyperlink" Target="https://drive.google.com/file/d/1Ma-7kzTsVOAIB7BYvxaWFeQ1hktQAYII/view?usp=drive_link" TargetMode="External"/><Relationship Id="rId11" Type="http://schemas.openxmlformats.org/officeDocument/2006/relationships/hyperlink" Target="https://drive.google.com/file/d/1bPGwgFOQV4_uuuMxFaDodvLOc5vYt2Pj/view?usp=drive_link" TargetMode="External"/><Relationship Id="rId10" Type="http://schemas.openxmlformats.org/officeDocument/2006/relationships/hyperlink" Target="https://drive.google.com/file/d/1DUP1j3vuDjiRURlVtw1zZoa41mUGthSc/view?usp=drive_link" TargetMode="External"/><Relationship Id="rId13" Type="http://schemas.openxmlformats.org/officeDocument/2006/relationships/hyperlink" Target="https://drive.google.com/file/d/1bPGwgFOQV4_uuuMxFaDodvLOc5vYt2Pj/view?usp=drive_link" TargetMode="External"/><Relationship Id="rId12" Type="http://schemas.openxmlformats.org/officeDocument/2006/relationships/hyperlink" Target="https://docs.google.com/document/d/1jgsb4_MU7K50RkptERPA39Pb6nEC7P9T/edit?usp=drive_link&amp;ouid=100655575552149728991&amp;rtpof=true&amp;sd=true" TargetMode="External"/><Relationship Id="rId15" Type="http://schemas.openxmlformats.org/officeDocument/2006/relationships/hyperlink" Target="https://drive.google.com/file/d/1r-2nII6icAbK8sj91D8YTc-UnJr5mlJ_/view?usp=drive_link" TargetMode="External"/><Relationship Id="rId14" Type="http://schemas.openxmlformats.org/officeDocument/2006/relationships/hyperlink" Target="https://docs.google.com/document/d/1pBkLVBpTMJCEeT3gNS2MB50hz77ALN9n/edit?usp=drive_link&amp;ouid=100655575552149728991&amp;rtpof=true&amp;sd=true" TargetMode="External"/><Relationship Id="rId17" Type="http://schemas.openxmlformats.org/officeDocument/2006/relationships/hyperlink" Target="https://docs.google.com/document/d/1pBkLVBpTMJCEeT3gNS2MB50hz77ALN9n/edit?usp=drive_link&amp;ouid=100655575552149728991&amp;rtpof=true&amp;sd=true" TargetMode="External"/><Relationship Id="rId16" Type="http://schemas.openxmlformats.org/officeDocument/2006/relationships/hyperlink" Target="https://drive.google.com/file/d/1o9tV9YSkSxAg99xQZwWLrfd-YxAHZdgQ/view?usp=drive_link" TargetMode="External"/><Relationship Id="rId19" Type="http://schemas.openxmlformats.org/officeDocument/2006/relationships/hyperlink" Target="https://docs.google.com/document/d/1J5poBAcF4aN-SxcQabcqU__XR2PL0Bbf/edit?usp=drive_link&amp;ouid=100655575552149728991&amp;rtpof=true&amp;sd=true" TargetMode="External"/><Relationship Id="rId18" Type="http://schemas.openxmlformats.org/officeDocument/2006/relationships/hyperlink" Target="https://drive.google.com/file/d/1ta9fryxnDeCyniQ-sbPYmaZstV64bFbq/view?usp=drive_link" TargetMode="External"/><Relationship Id="rId84" Type="http://schemas.openxmlformats.org/officeDocument/2006/relationships/drawing" Target="../drawings/drawing3.xml"/><Relationship Id="rId83" Type="http://schemas.openxmlformats.org/officeDocument/2006/relationships/hyperlink" Target="https://drive.google.com/file/d/1nFqDDXwCaMX-ijNEb9L6qZ80W6kRByhQ/view?usp=drive_link" TargetMode="External"/><Relationship Id="rId85" Type="http://schemas.openxmlformats.org/officeDocument/2006/relationships/vmlDrawing" Target="../drawings/vmlDrawing3.vml"/><Relationship Id="rId80" Type="http://schemas.openxmlformats.org/officeDocument/2006/relationships/hyperlink" Target="https://drive.google.com/file/d/167ssnSMuLHPMyUAoW2paUYXTS8Ci8lr2/view?usp=drive_link" TargetMode="External"/><Relationship Id="rId82" Type="http://schemas.openxmlformats.org/officeDocument/2006/relationships/hyperlink" Target="https://drive.google.com/file/d/1nFqDDXwCaMX-ijNEb9L6qZ80W6kRByhQ/view?usp=drive_link" TargetMode="External"/><Relationship Id="rId81" Type="http://schemas.openxmlformats.org/officeDocument/2006/relationships/hyperlink" Target="https://drive.google.com/file/d/1WxyOggs01nY4iBtXTJatIS-XD906zkzp/view?usp=drive_link" TargetMode="External"/><Relationship Id="rId1" Type="http://schemas.openxmlformats.org/officeDocument/2006/relationships/comments" Target="../comments3.xml"/><Relationship Id="rId2" Type="http://schemas.openxmlformats.org/officeDocument/2006/relationships/hyperlink" Target="https://drive.google.com/file/d/19KhLQ23VisODFdjKFeS0-0LzBOxanKQB/view?usp=drive_link" TargetMode="External"/><Relationship Id="rId3" Type="http://schemas.openxmlformats.org/officeDocument/2006/relationships/hyperlink" Target="https://docs.google.com/document/d/1a9a2OVMToCjjMwnVhWDc-hQcJaL21ARt/edit?usp=drive_link&amp;ouid=115767868987552221244&amp;rtpof=true&amp;sd=true" TargetMode="External"/><Relationship Id="rId4" Type="http://schemas.openxmlformats.org/officeDocument/2006/relationships/hyperlink" Target="https://drive.google.com/file/d/1df-YeBWuYRfvh3-E77YVIb0fn4azN-TL/view?usp=drive_link" TargetMode="External"/><Relationship Id="rId9" Type="http://schemas.openxmlformats.org/officeDocument/2006/relationships/hyperlink" Target="https://docs.google.com/document/d/16196EFZ_nYsLPk2dHXlv_ICVJO0KOcwS/edit?usp=drive_link&amp;ouid=100655575552149728991&amp;rtpof=true&amp;sd=true" TargetMode="External"/><Relationship Id="rId5" Type="http://schemas.openxmlformats.org/officeDocument/2006/relationships/hyperlink" Target="https://drive.google.com/file/d/1l5-2KnPRRhzHGl8yAGV93Ha07mptQ_UH/view?usp=drive_link" TargetMode="External"/><Relationship Id="rId6" Type="http://schemas.openxmlformats.org/officeDocument/2006/relationships/hyperlink" Target="https://docs.google.com/document/d/1DXEluskDdYNlCs8A2DgHFjwX0S6boNgj/edit?usp=drive_link&amp;ouid=100655575552149728991&amp;rtpof=true&amp;sd=true" TargetMode="External"/><Relationship Id="rId7" Type="http://schemas.openxmlformats.org/officeDocument/2006/relationships/hyperlink" Target="https://drive.google.com/file/d/1NIjC9LgDIgEXE9kRAY_Dk7CqDbhXWCiu/view?usp=drive_link" TargetMode="External"/><Relationship Id="rId8" Type="http://schemas.openxmlformats.org/officeDocument/2006/relationships/hyperlink" Target="https://drive.google.com/file/d/1C66UTiLGSbadTu0YLVJks49Fwd0zOFh_/view?usp=drive_link" TargetMode="External"/><Relationship Id="rId73" Type="http://schemas.openxmlformats.org/officeDocument/2006/relationships/hyperlink" Target="https://drive.google.com/file/d/1saYhvEIn896XrT2t1VpAzNKk-aezx5Qz/view?usp=drive_link" TargetMode="External"/><Relationship Id="rId72" Type="http://schemas.openxmlformats.org/officeDocument/2006/relationships/hyperlink" Target="https://drive.google.com/file/d/1YI5TTY3QW3KHG0oos1sGlfZiAEbNEUdx/view?usp=drive_link" TargetMode="External"/><Relationship Id="rId75" Type="http://schemas.openxmlformats.org/officeDocument/2006/relationships/hyperlink" Target="https://drive.google.com/file/d/1D9YaaSGkKxaoJ1Axu8bX28KdcYcyHVQC/view?usp=drive_link" TargetMode="External"/><Relationship Id="rId74" Type="http://schemas.openxmlformats.org/officeDocument/2006/relationships/hyperlink" Target="https://drive.google.com/file/d/1btRwCh7oJoZWSyn4NHiyiklsrazUU0Lz/view?usp=drive_link" TargetMode="External"/><Relationship Id="rId77" Type="http://schemas.openxmlformats.org/officeDocument/2006/relationships/hyperlink" Target="https://drive.google.com/file/d/1z_MhaZ1Gh9BUQIZzXNE0A7Yc29A5F2lx/view?usp=drive_link" TargetMode="External"/><Relationship Id="rId76" Type="http://schemas.openxmlformats.org/officeDocument/2006/relationships/hyperlink" Target="https://docs.google.com/document/d/1Xj6mc7c8OniK81ew9whxR5bPxI8mMscu/edit?usp=drive_link&amp;ouid=102607062102214807416&amp;rtpof=true&amp;sd=true" TargetMode="External"/><Relationship Id="rId79" Type="http://schemas.openxmlformats.org/officeDocument/2006/relationships/hyperlink" Target="https://drive.google.com/file/d/1bjkflWuruKYe1OdNQWf5DB2vpUAoOXqJ/view?usp=drive_link" TargetMode="External"/><Relationship Id="rId78" Type="http://schemas.openxmlformats.org/officeDocument/2006/relationships/hyperlink" Target="https://drive.google.com/file/d/13j1IwRvaLJPn-wmGkZ0l6kmiyHS_6PoF/view?usp=drive_link" TargetMode="External"/><Relationship Id="rId71" Type="http://schemas.openxmlformats.org/officeDocument/2006/relationships/hyperlink" Target="https://drive.google.com/file/d/1bKqNVYCqX0UEtYIC9Bbem61zVo7OL_L7/view?usp=drive_link" TargetMode="External"/><Relationship Id="rId70" Type="http://schemas.openxmlformats.org/officeDocument/2006/relationships/hyperlink" Target="https://drive.google.com/file/d/1mPlEzl6Doqh0vN8UOe88k6mvpjj5AiKQ/view?usp=drive_link" TargetMode="External"/><Relationship Id="rId62" Type="http://schemas.openxmlformats.org/officeDocument/2006/relationships/hyperlink" Target="https://drive.google.com/file/d/1TDK5IyOcJHwJ_OhJwxlOWFMPK2OfXcWb/view?usp=drive_link" TargetMode="External"/><Relationship Id="rId61" Type="http://schemas.openxmlformats.org/officeDocument/2006/relationships/hyperlink" Target="https://drive.google.com/file/d/1WAZfuz7NDmKbuJQxha4_aENCAdMDxGyx/view?usp=drive_link" TargetMode="External"/><Relationship Id="rId64" Type="http://schemas.openxmlformats.org/officeDocument/2006/relationships/hyperlink" Target="https://docs.google.com/document/d/1fhTGcE0GXHvNTQbod74cSy9SsMrOT9JQ/edit?usp=drive_link&amp;ouid=115767868987552221244&amp;rtpof=true&amp;sd=true" TargetMode="External"/><Relationship Id="rId63" Type="http://schemas.openxmlformats.org/officeDocument/2006/relationships/hyperlink" Target="https://drive.google.com/file/d/1kwwoODcbw-7jbuGG491NKOLCFd3gDZgr/view?usp=drive_link" TargetMode="External"/><Relationship Id="rId66" Type="http://schemas.openxmlformats.org/officeDocument/2006/relationships/hyperlink" Target="https://drive.google.com/file/d/1dTya89TD0nO1CRJfv_tGRwiuC7P9ukTf/view?usp=drive_link" TargetMode="External"/><Relationship Id="rId65" Type="http://schemas.openxmlformats.org/officeDocument/2006/relationships/hyperlink" Target="https://drive.google.com/file/d/17NM_HoEt6l5yDBnXkUj44Zl5-8VX7YUS/view?usp=sharing" TargetMode="External"/><Relationship Id="rId68" Type="http://schemas.openxmlformats.org/officeDocument/2006/relationships/hyperlink" Target="https://drive.google.com/file/d/1mOREK3Oy7i2fYArcq5MPBFjLIt3hKHaD/view?usp=drive_link" TargetMode="External"/><Relationship Id="rId67" Type="http://schemas.openxmlformats.org/officeDocument/2006/relationships/hyperlink" Target="https://drive.google.com/file/d/1mPlEzl6Doqh0vN8UOe88k6mvpjj5AiKQ/view?usp=drive_link" TargetMode="External"/><Relationship Id="rId60" Type="http://schemas.openxmlformats.org/officeDocument/2006/relationships/hyperlink" Target="https://drive.google.com/file/d/1_AaIUSHlzXRmtySBqhjrpK0L4lTfwdhA/view?usp=drive_link" TargetMode="External"/><Relationship Id="rId69" Type="http://schemas.openxmlformats.org/officeDocument/2006/relationships/hyperlink" Target="https://drive.google.com/file/d/1YI5TTY3QW3KHG0oos1sGlfZiAEbNEUdx/view?usp=drive_link" TargetMode="External"/><Relationship Id="rId51" Type="http://schemas.openxmlformats.org/officeDocument/2006/relationships/hyperlink" Target="https://drive.google.com/file/d/1Kj2Ayuh5v5ji1plO5xjpJl_lSKSjH7eJ/view?usp=drive_link" TargetMode="External"/><Relationship Id="rId50" Type="http://schemas.openxmlformats.org/officeDocument/2006/relationships/hyperlink" Target="https://drive.google.com/file/d/1Q8hccBiWA4gFGVjCnPjdEI3h2_hotvBS/view?usp=drive_link" TargetMode="External"/><Relationship Id="rId53" Type="http://schemas.openxmlformats.org/officeDocument/2006/relationships/hyperlink" Target="https://drive.google.com/file/d/1sUq2GV2RV2H-vMZJEjXLA3tC1Pzk3q4V/view?usp=drive_link" TargetMode="External"/><Relationship Id="rId52" Type="http://schemas.openxmlformats.org/officeDocument/2006/relationships/hyperlink" Target="https://drive.google.com/file/d/10fhi54Xkw7fQPztAbS9I42o_xvjlyS45/view?usp=drive_link" TargetMode="External"/><Relationship Id="rId55" Type="http://schemas.openxmlformats.org/officeDocument/2006/relationships/hyperlink" Target="https://drive.google.com/file/d/11eueRf6R4p5KOQiAXK2_28TqihNGEyNV/view?usp=drive_link" TargetMode="External"/><Relationship Id="rId54" Type="http://schemas.openxmlformats.org/officeDocument/2006/relationships/hyperlink" Target="https://drive.google.com/file/d/17xJzfVtWCgGcD7ri8qGFZAMOZv9lXuFt/view?usp=drive_link" TargetMode="External"/><Relationship Id="rId57" Type="http://schemas.openxmlformats.org/officeDocument/2006/relationships/hyperlink" Target="https://drive.google.com/file/d/1F5Zc8na3RHiAh8m42gGNV8ii2QBIDntM/view?usp=drive_link" TargetMode="External"/><Relationship Id="rId56" Type="http://schemas.openxmlformats.org/officeDocument/2006/relationships/hyperlink" Target="https://drive.google.com/file/d/1Ba555Oqg3mxkchxz8AOlwiemvridr3jA/view?usp=drive_link" TargetMode="External"/><Relationship Id="rId59" Type="http://schemas.openxmlformats.org/officeDocument/2006/relationships/hyperlink" Target="https://drive.google.com/file/d/1Imh6miGhm6EE-txTgrt5CgETjr0TsP9h/view?usp=drive_link" TargetMode="External"/><Relationship Id="rId58" Type="http://schemas.openxmlformats.org/officeDocument/2006/relationships/hyperlink" Target="https://drive.google.com/file/d/1kR_0_fXGej1bXsNL7o7HeilxEVecSt-h/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1.38"/>
    <col customWidth="1" min="7" max="7" width="14.38"/>
    <col customWidth="1" min="12" max="12" width="15.5"/>
    <col customWidth="1" min="14" max="14" width="14.5"/>
    <col customWidth="1" min="19" max="19" width="15.5"/>
    <col customWidth="1" min="20" max="20" width="17.0"/>
  </cols>
  <sheetData>
    <row r="1">
      <c r="B1" s="2" t="s">
        <v>0</v>
      </c>
      <c r="H1" s="5" t="s">
        <v>1</v>
      </c>
      <c r="N1" s="7"/>
      <c r="P1" s="9" t="s">
        <v>3</v>
      </c>
      <c r="V1" s="10"/>
      <c r="W1" s="10" t="s">
        <v>5</v>
      </c>
      <c r="AC1" s="12"/>
      <c r="AD1" s="12" t="s">
        <v>6</v>
      </c>
      <c r="AI1" s="12"/>
      <c r="AJ1" s="13"/>
      <c r="AK1" s="15" t="s">
        <v>8</v>
      </c>
      <c r="AL1" s="4"/>
      <c r="AM1" s="4"/>
      <c r="AN1" s="4"/>
      <c r="AO1" s="6"/>
      <c r="AP1" s="13"/>
      <c r="AQ1" s="17"/>
      <c r="AR1" s="19" t="s">
        <v>12</v>
      </c>
      <c r="AW1" s="8"/>
      <c r="AX1" s="8"/>
    </row>
    <row r="2">
      <c r="A2" s="20" t="s">
        <v>10</v>
      </c>
      <c r="B2" s="21" t="s">
        <v>11</v>
      </c>
      <c r="C2" s="21" t="s">
        <v>13</v>
      </c>
      <c r="D2" s="21" t="s">
        <v>14</v>
      </c>
      <c r="E2" s="21" t="s">
        <v>15</v>
      </c>
      <c r="F2" s="21" t="s">
        <v>16</v>
      </c>
      <c r="G2" s="24" t="s">
        <v>17</v>
      </c>
      <c r="H2" s="20" t="s">
        <v>10</v>
      </c>
      <c r="I2" s="21" t="s">
        <v>11</v>
      </c>
      <c r="J2" s="21" t="s">
        <v>13</v>
      </c>
      <c r="K2" s="21" t="s">
        <v>14</v>
      </c>
      <c r="L2" s="21" t="s">
        <v>15</v>
      </c>
      <c r="M2" s="21" t="s">
        <v>16</v>
      </c>
      <c r="N2" s="26"/>
      <c r="O2" s="28" t="s">
        <v>10</v>
      </c>
      <c r="P2" s="30" t="s">
        <v>13</v>
      </c>
      <c r="Q2" s="30" t="s">
        <v>11</v>
      </c>
      <c r="R2" s="30" t="s">
        <v>14</v>
      </c>
      <c r="S2" s="30" t="s">
        <v>15</v>
      </c>
      <c r="T2" s="30" t="s">
        <v>16</v>
      </c>
      <c r="U2" s="31"/>
      <c r="V2" s="20" t="s">
        <v>10</v>
      </c>
      <c r="W2" s="21" t="s">
        <v>13</v>
      </c>
      <c r="X2" s="21" t="s">
        <v>11</v>
      </c>
      <c r="Y2" s="21" t="s">
        <v>14</v>
      </c>
      <c r="Z2" s="21" t="s">
        <v>15</v>
      </c>
      <c r="AA2" s="21" t="s">
        <v>16</v>
      </c>
      <c r="AB2" s="31"/>
      <c r="AC2" s="28" t="s">
        <v>10</v>
      </c>
      <c r="AD2" s="30" t="s">
        <v>11</v>
      </c>
      <c r="AE2" s="30" t="s">
        <v>13</v>
      </c>
      <c r="AF2" s="30" t="s">
        <v>14</v>
      </c>
      <c r="AG2" s="30" t="s">
        <v>15</v>
      </c>
      <c r="AH2" s="30" t="s">
        <v>16</v>
      </c>
      <c r="AI2" s="38"/>
      <c r="AJ2" s="28" t="s">
        <v>10</v>
      </c>
      <c r="AK2" s="30" t="s">
        <v>13</v>
      </c>
      <c r="AL2" s="30" t="s">
        <v>11</v>
      </c>
      <c r="AM2" s="30" t="s">
        <v>14</v>
      </c>
      <c r="AN2" s="30" t="s">
        <v>15</v>
      </c>
      <c r="AO2" s="30" t="s">
        <v>16</v>
      </c>
      <c r="AP2" s="38"/>
      <c r="AQ2" s="40" t="s">
        <v>10</v>
      </c>
      <c r="AR2" s="43" t="s">
        <v>13</v>
      </c>
      <c r="AS2" s="43" t="s">
        <v>11</v>
      </c>
      <c r="AT2" s="43" t="s">
        <v>14</v>
      </c>
      <c r="AU2" s="43" t="s">
        <v>15</v>
      </c>
      <c r="AV2" s="43" t="s">
        <v>16</v>
      </c>
      <c r="AW2" s="45"/>
      <c r="AX2" s="45"/>
    </row>
    <row r="3">
      <c r="A3" s="46">
        <v>46028.0</v>
      </c>
      <c r="B3" s="50" t="s">
        <v>35</v>
      </c>
      <c r="C3" s="50" t="s">
        <v>38</v>
      </c>
      <c r="D3" s="53">
        <v>142000.0</v>
      </c>
      <c r="E3" s="56" t="s">
        <v>41</v>
      </c>
      <c r="F3" s="33">
        <v>46034.0</v>
      </c>
      <c r="G3" s="59"/>
      <c r="H3" s="62">
        <v>46023.0</v>
      </c>
      <c r="I3" s="65" t="s">
        <v>47</v>
      </c>
      <c r="J3" s="69" t="s">
        <v>49</v>
      </c>
      <c r="K3" s="37">
        <v>46000.0</v>
      </c>
      <c r="L3" s="35" t="s">
        <v>50</v>
      </c>
      <c r="M3" s="33">
        <v>46034.0</v>
      </c>
      <c r="N3" s="7"/>
      <c r="O3" s="70"/>
      <c r="P3" s="72" t="s">
        <v>57</v>
      </c>
      <c r="Q3" s="35" t="s">
        <v>60</v>
      </c>
      <c r="R3" s="73">
        <v>300000.0</v>
      </c>
      <c r="S3" s="35" t="s">
        <v>64</v>
      </c>
      <c r="T3" s="33">
        <v>46034.0</v>
      </c>
      <c r="V3" s="75"/>
      <c r="W3" s="77" t="s">
        <v>69</v>
      </c>
      <c r="X3" s="34" t="s">
        <v>72</v>
      </c>
      <c r="Y3" s="81">
        <v>980000.0</v>
      </c>
      <c r="Z3" s="83" t="s">
        <v>77</v>
      </c>
      <c r="AA3" s="48">
        <v>46034.0</v>
      </c>
      <c r="AC3" s="86">
        <v>46376.0</v>
      </c>
      <c r="AD3" s="34" t="s">
        <v>83</v>
      </c>
      <c r="AE3" s="34" t="s">
        <v>84</v>
      </c>
      <c r="AF3" s="41">
        <v>96000.0</v>
      </c>
      <c r="AG3" s="77" t="s">
        <v>85</v>
      </c>
      <c r="AH3" s="32">
        <v>46069.0</v>
      </c>
      <c r="AI3" s="89"/>
      <c r="AJ3" s="32">
        <v>46061.0</v>
      </c>
      <c r="AK3" s="91" t="s">
        <v>89</v>
      </c>
      <c r="AL3" s="91" t="s">
        <v>92</v>
      </c>
      <c r="AM3" s="94">
        <v>380000.0</v>
      </c>
      <c r="AN3" s="34" t="s">
        <v>77</v>
      </c>
      <c r="AO3" s="32">
        <v>46069.0</v>
      </c>
      <c r="AP3" s="89"/>
      <c r="AQ3" s="93"/>
      <c r="AR3" s="35" t="s">
        <v>95</v>
      </c>
      <c r="AS3" s="35" t="s">
        <v>97</v>
      </c>
      <c r="AT3" s="98">
        <v>176000.0</v>
      </c>
      <c r="AU3" s="35" t="s">
        <v>77</v>
      </c>
      <c r="AV3" s="99">
        <v>46110.0</v>
      </c>
      <c r="AW3" s="100"/>
      <c r="AX3" s="100"/>
    </row>
    <row r="4">
      <c r="A4" s="46">
        <v>46030.0</v>
      </c>
      <c r="B4" s="102" t="s">
        <v>107</v>
      </c>
      <c r="C4" s="102" t="s">
        <v>109</v>
      </c>
      <c r="D4" s="103">
        <v>93000.0</v>
      </c>
      <c r="E4" s="35" t="s">
        <v>113</v>
      </c>
      <c r="F4" s="33">
        <v>46034.0</v>
      </c>
      <c r="G4" s="59"/>
      <c r="H4" s="62">
        <v>46023.0</v>
      </c>
      <c r="I4" s="65" t="s">
        <v>114</v>
      </c>
      <c r="J4" s="35" t="s">
        <v>115</v>
      </c>
      <c r="K4" s="37">
        <v>69000.0</v>
      </c>
      <c r="L4" s="35" t="s">
        <v>117</v>
      </c>
      <c r="M4" s="33">
        <v>46034.0</v>
      </c>
      <c r="N4" s="7"/>
      <c r="O4" s="70"/>
      <c r="P4" s="35" t="s">
        <v>119</v>
      </c>
      <c r="Q4" s="35" t="s">
        <v>121</v>
      </c>
      <c r="R4" s="107">
        <v>120000.0</v>
      </c>
      <c r="S4" s="35" t="s">
        <v>64</v>
      </c>
      <c r="T4" s="33">
        <v>46034.0</v>
      </c>
      <c r="V4" s="69"/>
      <c r="W4" s="34" t="s">
        <v>127</v>
      </c>
      <c r="X4" s="34" t="s">
        <v>128</v>
      </c>
      <c r="Y4" s="96"/>
      <c r="Z4" s="96"/>
      <c r="AA4" s="96"/>
      <c r="AC4" s="86">
        <v>46381.0</v>
      </c>
      <c r="AD4" s="34" t="s">
        <v>136</v>
      </c>
      <c r="AE4" s="34" t="s">
        <v>137</v>
      </c>
      <c r="AF4" s="41">
        <v>58000.0</v>
      </c>
      <c r="AG4" s="77" t="s">
        <v>85</v>
      </c>
      <c r="AH4" s="32">
        <v>46069.0</v>
      </c>
      <c r="AI4" s="89"/>
      <c r="AJ4" s="32">
        <v>46072.0</v>
      </c>
      <c r="AK4" s="91" t="s">
        <v>139</v>
      </c>
      <c r="AL4" s="91" t="s">
        <v>140</v>
      </c>
      <c r="AM4" s="94">
        <v>380000.0</v>
      </c>
      <c r="AN4" s="34" t="s">
        <v>77</v>
      </c>
      <c r="AO4" s="32">
        <v>46078.0</v>
      </c>
      <c r="AP4" s="89"/>
      <c r="AQ4" s="93"/>
      <c r="AR4" s="35" t="s">
        <v>143</v>
      </c>
      <c r="AS4" s="35" t="s">
        <v>144</v>
      </c>
      <c r="AT4" s="98">
        <v>85000.0</v>
      </c>
      <c r="AU4" s="35" t="s">
        <v>77</v>
      </c>
      <c r="AV4" s="99">
        <v>46110.0</v>
      </c>
      <c r="AW4" s="100"/>
      <c r="AX4" s="100"/>
    </row>
    <row r="5">
      <c r="A5" s="46">
        <v>46024.0</v>
      </c>
      <c r="B5" s="102" t="s">
        <v>148</v>
      </c>
      <c r="C5" s="102" t="s">
        <v>149</v>
      </c>
      <c r="D5" s="103">
        <v>97000.0</v>
      </c>
      <c r="E5" s="35" t="s">
        <v>152</v>
      </c>
      <c r="F5" s="33">
        <v>46034.0</v>
      </c>
      <c r="G5" s="118"/>
      <c r="H5" s="62">
        <v>46023.0</v>
      </c>
      <c r="I5" s="65" t="s">
        <v>158</v>
      </c>
      <c r="J5" s="69" t="s">
        <v>159</v>
      </c>
      <c r="K5" s="37">
        <v>92000.0</v>
      </c>
      <c r="L5" s="35" t="s">
        <v>162</v>
      </c>
      <c r="M5" s="33">
        <v>46034.0</v>
      </c>
      <c r="N5" s="7"/>
      <c r="O5" s="70"/>
      <c r="P5" s="35" t="s">
        <v>165</v>
      </c>
      <c r="Q5" s="35" t="s">
        <v>166</v>
      </c>
      <c r="R5" s="107">
        <v>400000.0</v>
      </c>
      <c r="S5" s="35" t="s">
        <v>168</v>
      </c>
      <c r="T5" s="33">
        <v>46053.0</v>
      </c>
      <c r="V5" s="69"/>
      <c r="W5" s="34" t="s">
        <v>172</v>
      </c>
      <c r="X5" s="34" t="s">
        <v>174</v>
      </c>
      <c r="Y5" s="122">
        <v>600000.0</v>
      </c>
      <c r="Z5" s="34" t="s">
        <v>77</v>
      </c>
      <c r="AA5" s="32">
        <v>46040.0</v>
      </c>
      <c r="AC5" s="86">
        <v>46376.0</v>
      </c>
      <c r="AD5" s="34" t="s">
        <v>180</v>
      </c>
      <c r="AE5" s="34" t="s">
        <v>181</v>
      </c>
      <c r="AF5" s="41">
        <v>96000.0</v>
      </c>
      <c r="AG5" s="77" t="s">
        <v>183</v>
      </c>
      <c r="AH5" s="32">
        <v>46069.0</v>
      </c>
      <c r="AI5" s="89"/>
      <c r="AJ5" s="89"/>
      <c r="AK5" s="127"/>
      <c r="AL5" s="127"/>
      <c r="AM5" s="127"/>
      <c r="AN5" s="127"/>
      <c r="AO5" s="127"/>
      <c r="AP5" s="89"/>
      <c r="AQ5" s="93"/>
      <c r="AR5" s="35" t="s">
        <v>187</v>
      </c>
      <c r="AS5" s="35" t="s">
        <v>188</v>
      </c>
      <c r="AT5" s="98">
        <v>168000.0</v>
      </c>
      <c r="AU5" s="35" t="s">
        <v>77</v>
      </c>
      <c r="AV5" s="99">
        <v>46110.0</v>
      </c>
      <c r="AW5" s="100"/>
      <c r="AX5" s="100"/>
    </row>
    <row r="6">
      <c r="A6" s="46">
        <v>46024.0</v>
      </c>
      <c r="B6" s="102" t="s">
        <v>194</v>
      </c>
      <c r="C6" s="132" t="s">
        <v>199</v>
      </c>
      <c r="D6" s="135">
        <v>207000.0</v>
      </c>
      <c r="E6" s="35" t="s">
        <v>205</v>
      </c>
      <c r="F6" s="33">
        <v>46034.0</v>
      </c>
      <c r="G6" s="128" t="s">
        <v>206</v>
      </c>
      <c r="H6" s="62">
        <v>46023.0</v>
      </c>
      <c r="I6" s="65" t="s">
        <v>211</v>
      </c>
      <c r="J6" s="65" t="s">
        <v>213</v>
      </c>
      <c r="K6" s="37">
        <v>92000.0</v>
      </c>
      <c r="L6" s="35" t="s">
        <v>215</v>
      </c>
      <c r="M6" s="33">
        <v>46034.0</v>
      </c>
      <c r="N6" s="7"/>
      <c r="O6" s="140"/>
      <c r="P6" s="35" t="s">
        <v>223</v>
      </c>
      <c r="Q6" s="35" t="s">
        <v>224</v>
      </c>
      <c r="R6" s="37">
        <v>500000.0</v>
      </c>
      <c r="S6" s="35" t="s">
        <v>225</v>
      </c>
      <c r="T6" s="33">
        <v>46105.0</v>
      </c>
      <c r="V6" s="69"/>
      <c r="W6" s="34" t="s">
        <v>227</v>
      </c>
      <c r="X6" s="34" t="s">
        <v>230</v>
      </c>
      <c r="Y6" s="122">
        <v>380000.0</v>
      </c>
      <c r="Z6" s="34" t="s">
        <v>77</v>
      </c>
      <c r="AA6" s="32">
        <v>46049.0</v>
      </c>
      <c r="AC6" s="32">
        <v>46039.0</v>
      </c>
      <c r="AD6" s="34" t="s">
        <v>233</v>
      </c>
      <c r="AE6" s="34" t="s">
        <v>236</v>
      </c>
      <c r="AF6" s="41">
        <v>111000.0</v>
      </c>
      <c r="AG6" s="77" t="s">
        <v>85</v>
      </c>
      <c r="AH6" s="32">
        <v>46069.0</v>
      </c>
      <c r="AI6" s="89"/>
      <c r="AJ6" s="89"/>
      <c r="AK6" s="127"/>
      <c r="AL6" s="127"/>
      <c r="AM6" s="127"/>
      <c r="AN6" s="127"/>
      <c r="AO6" s="127"/>
      <c r="AP6" s="89"/>
      <c r="AQ6" s="33">
        <v>46130.0</v>
      </c>
      <c r="AR6" s="35" t="s">
        <v>243</v>
      </c>
      <c r="AS6" s="35" t="s">
        <v>245</v>
      </c>
      <c r="AT6" s="42">
        <v>76000.0</v>
      </c>
      <c r="AU6" s="35" t="s">
        <v>77</v>
      </c>
      <c r="AV6" s="33">
        <v>46142.0</v>
      </c>
      <c r="AW6" s="147"/>
      <c r="AX6" s="147"/>
    </row>
    <row r="7">
      <c r="A7" s="46">
        <v>46025.0</v>
      </c>
      <c r="B7" s="102" t="s">
        <v>251</v>
      </c>
      <c r="C7" s="132" t="s">
        <v>254</v>
      </c>
      <c r="D7" s="135">
        <v>224000.0</v>
      </c>
      <c r="E7" s="35" t="s">
        <v>257</v>
      </c>
      <c r="F7" s="33">
        <v>46034.0</v>
      </c>
      <c r="G7" s="118"/>
      <c r="H7" s="32">
        <v>46058.0</v>
      </c>
      <c r="I7" s="65" t="s">
        <v>259</v>
      </c>
      <c r="J7" s="35" t="s">
        <v>262</v>
      </c>
      <c r="K7" s="37">
        <v>56000.0</v>
      </c>
      <c r="L7" s="35" t="s">
        <v>264</v>
      </c>
      <c r="M7" s="33">
        <v>46069.0</v>
      </c>
      <c r="N7" s="7"/>
      <c r="V7" s="69"/>
      <c r="W7" s="35" t="s">
        <v>265</v>
      </c>
      <c r="X7" s="35" t="s">
        <v>266</v>
      </c>
      <c r="Y7" s="73">
        <v>190000.0</v>
      </c>
      <c r="Z7" s="35" t="s">
        <v>77</v>
      </c>
      <c r="AA7" s="33">
        <v>46049.0</v>
      </c>
      <c r="AC7" s="32">
        <v>46047.0</v>
      </c>
      <c r="AD7" s="34" t="s">
        <v>272</v>
      </c>
      <c r="AE7" s="34" t="s">
        <v>273</v>
      </c>
      <c r="AF7" s="41">
        <v>111000.0</v>
      </c>
      <c r="AG7" s="77" t="s">
        <v>85</v>
      </c>
      <c r="AH7" s="32">
        <v>46069.0</v>
      </c>
      <c r="AI7" s="89"/>
      <c r="AJ7" s="89"/>
      <c r="AK7" s="127"/>
      <c r="AL7" s="127"/>
      <c r="AM7" s="127"/>
      <c r="AN7" s="127"/>
      <c r="AO7" s="127"/>
      <c r="AP7" s="89"/>
      <c r="AQ7" s="127"/>
      <c r="AR7" s="127"/>
      <c r="AS7" s="127"/>
      <c r="AT7" s="127"/>
      <c r="AU7" s="127"/>
      <c r="AV7" s="127"/>
      <c r="AW7" s="147"/>
      <c r="AX7" s="147"/>
    </row>
    <row r="8">
      <c r="A8" s="46">
        <v>46026.0</v>
      </c>
      <c r="B8" s="102" t="s">
        <v>286</v>
      </c>
      <c r="C8" s="132" t="s">
        <v>287</v>
      </c>
      <c r="D8" s="103">
        <v>146000.0</v>
      </c>
      <c r="E8" s="35" t="s">
        <v>289</v>
      </c>
      <c r="F8" s="33">
        <v>46034.0</v>
      </c>
      <c r="G8" s="159">
        <f>G9-G10</f>
        <v>222000</v>
      </c>
      <c r="H8" s="32">
        <v>46057.0</v>
      </c>
      <c r="I8" s="163" t="s">
        <v>327</v>
      </c>
      <c r="J8" s="165" t="s">
        <v>332</v>
      </c>
      <c r="K8" s="37">
        <v>84000.0</v>
      </c>
      <c r="L8" s="165" t="s">
        <v>334</v>
      </c>
      <c r="M8" s="33">
        <v>46069.0</v>
      </c>
      <c r="N8" s="7"/>
      <c r="V8" s="69"/>
      <c r="W8" s="35" t="s">
        <v>265</v>
      </c>
      <c r="X8" s="35" t="s">
        <v>340</v>
      </c>
      <c r="Y8" s="73">
        <v>190000.0</v>
      </c>
      <c r="Z8" s="35" t="s">
        <v>77</v>
      </c>
      <c r="AA8" s="33">
        <v>46049.0</v>
      </c>
      <c r="AC8" s="32">
        <v>46046.0</v>
      </c>
      <c r="AD8" s="34" t="s">
        <v>345</v>
      </c>
      <c r="AE8" s="34" t="s">
        <v>348</v>
      </c>
      <c r="AF8" s="41">
        <v>108000.0</v>
      </c>
      <c r="AG8" s="77" t="s">
        <v>183</v>
      </c>
      <c r="AH8" s="32">
        <v>46069.0</v>
      </c>
      <c r="AI8" s="89"/>
      <c r="AJ8" s="89"/>
      <c r="AK8" s="89"/>
      <c r="AL8" s="89"/>
      <c r="AM8" s="89"/>
      <c r="AN8" s="89"/>
      <c r="AO8" s="89"/>
      <c r="AP8" s="89"/>
      <c r="AQ8" s="89"/>
      <c r="AR8" s="89"/>
      <c r="AS8" s="89"/>
      <c r="AT8" s="89"/>
      <c r="AU8" s="89"/>
      <c r="AV8" s="89"/>
      <c r="AW8" s="89"/>
      <c r="AX8" s="89"/>
    </row>
    <row r="9">
      <c r="A9" s="46">
        <v>46028.0</v>
      </c>
      <c r="B9" s="102" t="s">
        <v>355</v>
      </c>
      <c r="C9" s="132" t="s">
        <v>360</v>
      </c>
      <c r="D9" s="103">
        <v>106000.0</v>
      </c>
      <c r="E9" s="35" t="s">
        <v>364</v>
      </c>
      <c r="F9" s="33">
        <v>46034.0</v>
      </c>
      <c r="G9" s="159">
        <f>D3+D4+D5+D6+D7+D8+D9+D10</f>
        <v>1284000</v>
      </c>
      <c r="H9" s="32">
        <v>46068.0</v>
      </c>
      <c r="I9" s="65" t="s">
        <v>376</v>
      </c>
      <c r="J9" s="35" t="s">
        <v>377</v>
      </c>
      <c r="K9" s="37">
        <v>56000.0</v>
      </c>
      <c r="L9" s="35" t="s">
        <v>379</v>
      </c>
      <c r="M9" s="176">
        <v>46076.0</v>
      </c>
      <c r="N9" s="7"/>
      <c r="V9" s="69"/>
      <c r="W9" s="35" t="s">
        <v>385</v>
      </c>
      <c r="X9" s="35" t="s">
        <v>390</v>
      </c>
      <c r="Y9" s="107">
        <v>380000.0</v>
      </c>
      <c r="Z9" s="78" t="s">
        <v>77</v>
      </c>
      <c r="AA9" s="82">
        <v>46053.0</v>
      </c>
      <c r="AC9" s="32">
        <v>46047.0</v>
      </c>
      <c r="AD9" s="34" t="s">
        <v>399</v>
      </c>
      <c r="AE9" s="34" t="s">
        <v>401</v>
      </c>
      <c r="AF9" s="41">
        <v>108000.0</v>
      </c>
      <c r="AG9" s="77" t="s">
        <v>183</v>
      </c>
      <c r="AH9" s="32">
        <v>46069.0</v>
      </c>
      <c r="AI9" s="89"/>
      <c r="AJ9" s="89"/>
      <c r="AK9" s="89"/>
      <c r="AL9" s="89"/>
      <c r="AM9" s="89"/>
      <c r="AN9" s="89"/>
      <c r="AO9" s="89"/>
      <c r="AP9" s="89"/>
      <c r="AQ9" s="89"/>
      <c r="AR9" s="89"/>
      <c r="AS9" s="89"/>
      <c r="AT9" s="89"/>
      <c r="AU9" s="89"/>
      <c r="AV9" s="89"/>
      <c r="AW9" s="89"/>
      <c r="AX9" s="89"/>
    </row>
    <row r="10">
      <c r="A10" s="46">
        <v>46028.0</v>
      </c>
      <c r="B10" s="102" t="s">
        <v>408</v>
      </c>
      <c r="C10" s="132" t="s">
        <v>409</v>
      </c>
      <c r="D10" s="103">
        <v>269000.0</v>
      </c>
      <c r="E10" s="35" t="s">
        <v>410</v>
      </c>
      <c r="F10" s="33">
        <v>46034.0</v>
      </c>
      <c r="G10" s="185">
        <v>1062000.0</v>
      </c>
      <c r="H10" s="32">
        <v>46063.0</v>
      </c>
      <c r="I10" s="65" t="s">
        <v>411</v>
      </c>
      <c r="J10" s="35" t="s">
        <v>412</v>
      </c>
      <c r="K10" s="37">
        <v>84000.0</v>
      </c>
      <c r="L10" s="35" t="s">
        <v>413</v>
      </c>
      <c r="M10" s="176">
        <v>46076.0</v>
      </c>
      <c r="N10" s="7"/>
      <c r="V10" s="69"/>
      <c r="W10" s="35" t="s">
        <v>414</v>
      </c>
      <c r="X10" s="35" t="s">
        <v>415</v>
      </c>
      <c r="Y10" s="107">
        <v>600000.0</v>
      </c>
      <c r="Z10" s="96"/>
      <c r="AA10" s="96"/>
      <c r="AD10" s="1"/>
      <c r="AE10" s="1"/>
      <c r="AF10" s="1"/>
      <c r="AG10" s="1"/>
      <c r="AH10" s="1"/>
    </row>
    <row r="11">
      <c r="A11" s="46">
        <v>46034.0</v>
      </c>
      <c r="B11" s="102" t="s">
        <v>416</v>
      </c>
      <c r="C11" s="102" t="s">
        <v>417</v>
      </c>
      <c r="D11" s="189">
        <v>161000.0</v>
      </c>
      <c r="E11" s="35" t="s">
        <v>419</v>
      </c>
      <c r="F11" s="33">
        <v>46040.0</v>
      </c>
      <c r="G11" s="118"/>
      <c r="H11" s="32">
        <v>46068.0</v>
      </c>
      <c r="I11" s="65" t="s">
        <v>422</v>
      </c>
      <c r="J11" s="35" t="s">
        <v>423</v>
      </c>
      <c r="K11" s="37">
        <v>28000.0</v>
      </c>
      <c r="L11" s="35" t="s">
        <v>425</v>
      </c>
      <c r="M11" s="176">
        <v>46076.0</v>
      </c>
      <c r="N11" s="51"/>
      <c r="O11" s="31"/>
      <c r="P11" s="31"/>
      <c r="Q11" s="31"/>
      <c r="R11" s="31"/>
      <c r="S11" s="31"/>
      <c r="T11" s="31"/>
      <c r="U11" s="31"/>
      <c r="V11" s="69"/>
      <c r="W11" s="35" t="s">
        <v>431</v>
      </c>
      <c r="X11" s="35" t="s">
        <v>432</v>
      </c>
      <c r="Y11" s="73">
        <v>800000.0</v>
      </c>
      <c r="Z11" s="35" t="s">
        <v>77</v>
      </c>
      <c r="AA11" s="33">
        <v>46069.0</v>
      </c>
      <c r="AB11" s="31"/>
      <c r="AC11" s="193"/>
      <c r="AD11" s="196" t="s">
        <v>85</v>
      </c>
      <c r="AE11" s="204">
        <f>AF3+AF4+AF6+AF7</f>
        <v>376000</v>
      </c>
      <c r="AF11" s="207"/>
      <c r="AG11" s="207"/>
      <c r="AH11" s="207"/>
      <c r="AI11" s="31"/>
      <c r="AJ11" s="31"/>
      <c r="AK11" s="31"/>
      <c r="AL11" s="31"/>
      <c r="AM11" s="31"/>
      <c r="AN11" s="31"/>
      <c r="AO11" s="31"/>
      <c r="AP11" s="31"/>
      <c r="AQ11" s="31"/>
      <c r="AR11" s="31"/>
      <c r="AS11" s="31"/>
      <c r="AT11" s="31"/>
      <c r="AU11" s="31"/>
      <c r="AV11" s="31"/>
      <c r="AW11" s="31"/>
      <c r="AX11" s="31"/>
    </row>
    <row r="12">
      <c r="A12" s="46">
        <v>46033.0</v>
      </c>
      <c r="B12" s="102" t="s">
        <v>455</v>
      </c>
      <c r="C12" s="102" t="s">
        <v>457</v>
      </c>
      <c r="D12" s="189">
        <v>106000.0</v>
      </c>
      <c r="E12" s="35" t="s">
        <v>458</v>
      </c>
      <c r="F12" s="33">
        <v>46040.0</v>
      </c>
      <c r="G12" s="214">
        <v>267000.0</v>
      </c>
      <c r="H12" s="33">
        <v>46119.0</v>
      </c>
      <c r="I12" s="35" t="s">
        <v>460</v>
      </c>
      <c r="J12" s="35" t="s">
        <v>461</v>
      </c>
      <c r="K12" s="42">
        <v>56000.0</v>
      </c>
      <c r="L12" s="35" t="s">
        <v>464</v>
      </c>
      <c r="M12" s="218">
        <v>46135.0</v>
      </c>
      <c r="N12" s="51"/>
      <c r="O12" s="31"/>
      <c r="P12" s="51"/>
      <c r="Q12" s="31"/>
      <c r="R12" s="31"/>
      <c r="S12" s="31"/>
      <c r="T12" s="31"/>
      <c r="U12" s="31"/>
      <c r="V12" s="69"/>
      <c r="W12" s="35" t="s">
        <v>476</v>
      </c>
      <c r="X12" s="35" t="s">
        <v>478</v>
      </c>
      <c r="Y12" s="73">
        <v>1580000.0</v>
      </c>
      <c r="Z12" s="35" t="s">
        <v>77</v>
      </c>
      <c r="AA12" s="33">
        <v>46076.0</v>
      </c>
      <c r="AB12" s="31"/>
      <c r="AC12" s="193"/>
      <c r="AD12" s="196" t="s">
        <v>183</v>
      </c>
      <c r="AE12" s="204">
        <f>AF5+AF8+AF9</f>
        <v>312000</v>
      </c>
      <c r="AF12" s="31"/>
      <c r="AG12" s="31"/>
      <c r="AH12" s="31"/>
      <c r="AI12" s="31"/>
      <c r="AJ12" s="31"/>
      <c r="AK12" s="31"/>
      <c r="AL12" s="31"/>
      <c r="AM12" s="31"/>
      <c r="AN12" s="31"/>
      <c r="AO12" s="31"/>
      <c r="AP12" s="31"/>
      <c r="AQ12" s="31"/>
      <c r="AR12" s="31"/>
      <c r="AS12" s="31"/>
      <c r="AT12" s="31"/>
      <c r="AU12" s="31"/>
      <c r="AV12" s="31"/>
      <c r="AW12" s="31"/>
      <c r="AX12" s="31"/>
    </row>
    <row r="13">
      <c r="A13" s="46">
        <v>46044.0</v>
      </c>
      <c r="B13" s="102" t="s">
        <v>486</v>
      </c>
      <c r="C13" s="132" t="s">
        <v>487</v>
      </c>
      <c r="D13" s="103">
        <v>106000.0</v>
      </c>
      <c r="E13" s="35" t="s">
        <v>488</v>
      </c>
      <c r="F13" s="33">
        <v>46049.0</v>
      </c>
      <c r="G13" s="118"/>
      <c r="H13" s="33">
        <v>46119.0</v>
      </c>
      <c r="I13" s="35" t="s">
        <v>493</v>
      </c>
      <c r="J13" s="35" t="s">
        <v>494</v>
      </c>
      <c r="K13" s="42">
        <v>56000.0</v>
      </c>
      <c r="L13" s="35" t="s">
        <v>464</v>
      </c>
      <c r="M13" s="71"/>
      <c r="N13" s="7"/>
      <c r="V13" s="69"/>
      <c r="W13" s="34" t="s">
        <v>497</v>
      </c>
      <c r="X13" s="34" t="s">
        <v>498</v>
      </c>
      <c r="Y13" s="122">
        <v>2600000.0</v>
      </c>
      <c r="Z13" s="34" t="s">
        <v>77</v>
      </c>
      <c r="AA13" s="32">
        <v>46081.0</v>
      </c>
      <c r="AE13" s="234">
        <f>SUM(AE11:AE12)</f>
        <v>688000</v>
      </c>
      <c r="AJ13" s="237"/>
      <c r="AK13" s="235" t="s">
        <v>504</v>
      </c>
      <c r="AL13" s="4"/>
      <c r="AM13" s="4"/>
      <c r="AN13" s="4"/>
      <c r="AO13" s="6"/>
      <c r="AS13" s="237"/>
      <c r="AT13" s="235" t="s">
        <v>513</v>
      </c>
      <c r="AU13" s="4"/>
      <c r="AV13" s="4"/>
      <c r="AW13" s="4"/>
      <c r="AX13" s="6"/>
    </row>
    <row r="14">
      <c r="A14" s="46">
        <v>46044.0</v>
      </c>
      <c r="B14" s="102" t="s">
        <v>518</v>
      </c>
      <c r="C14" s="132" t="s">
        <v>265</v>
      </c>
      <c r="D14" s="103">
        <v>89000.0</v>
      </c>
      <c r="E14" s="35" t="s">
        <v>520</v>
      </c>
      <c r="F14" s="33">
        <v>46049.0</v>
      </c>
      <c r="G14" s="118"/>
      <c r="H14" s="33">
        <v>46119.0</v>
      </c>
      <c r="I14" s="35" t="s">
        <v>523</v>
      </c>
      <c r="J14" s="35" t="s">
        <v>524</v>
      </c>
      <c r="K14" s="42">
        <v>84000.0</v>
      </c>
      <c r="L14" s="35" t="s">
        <v>464</v>
      </c>
      <c r="M14" s="96"/>
      <c r="N14" s="7"/>
      <c r="V14" s="246"/>
      <c r="W14" s="77" t="s">
        <v>530</v>
      </c>
      <c r="X14" s="34" t="s">
        <v>533</v>
      </c>
      <c r="Y14" s="122">
        <v>1580000.0</v>
      </c>
      <c r="Z14" s="34" t="s">
        <v>77</v>
      </c>
      <c r="AA14" s="32">
        <v>46098.0</v>
      </c>
      <c r="AJ14" s="242" t="s">
        <v>10</v>
      </c>
      <c r="AK14" s="243" t="s">
        <v>13</v>
      </c>
      <c r="AL14" s="243" t="s">
        <v>11</v>
      </c>
      <c r="AM14" s="243" t="s">
        <v>14</v>
      </c>
      <c r="AN14" s="243" t="s">
        <v>15</v>
      </c>
      <c r="AO14" s="243" t="s">
        <v>16</v>
      </c>
      <c r="AS14" s="242" t="s">
        <v>10</v>
      </c>
      <c r="AT14" s="243" t="s">
        <v>13</v>
      </c>
      <c r="AU14" s="243" t="s">
        <v>11</v>
      </c>
      <c r="AV14" s="243" t="s">
        <v>14</v>
      </c>
      <c r="AW14" s="243" t="s">
        <v>15</v>
      </c>
      <c r="AX14" s="243" t="s">
        <v>16</v>
      </c>
    </row>
    <row r="15">
      <c r="A15" s="46">
        <v>46031.0</v>
      </c>
      <c r="B15" s="102" t="s">
        <v>545</v>
      </c>
      <c r="C15" s="132" t="s">
        <v>546</v>
      </c>
      <c r="D15" s="103">
        <v>233000.0</v>
      </c>
      <c r="E15" s="35" t="s">
        <v>547</v>
      </c>
      <c r="F15" s="33">
        <v>46049.0</v>
      </c>
      <c r="G15" s="118"/>
      <c r="N15" s="7"/>
      <c r="V15" s="246"/>
      <c r="W15" s="35" t="s">
        <v>95</v>
      </c>
      <c r="X15" s="35" t="s">
        <v>549</v>
      </c>
      <c r="Y15" s="37">
        <v>600000.0</v>
      </c>
      <c r="Z15" s="35" t="s">
        <v>77</v>
      </c>
      <c r="AA15" s="33">
        <v>46105.0</v>
      </c>
      <c r="AJ15" s="253">
        <v>46127.0</v>
      </c>
      <c r="AK15" s="91" t="s">
        <v>552</v>
      </c>
      <c r="AL15" s="91" t="s">
        <v>553</v>
      </c>
      <c r="AM15" s="255">
        <v>380000.0</v>
      </c>
      <c r="AN15" s="34" t="s">
        <v>77</v>
      </c>
      <c r="AO15" s="48">
        <v>46132.0</v>
      </c>
      <c r="AS15" s="253">
        <v>46070.0</v>
      </c>
      <c r="AT15" s="91" t="s">
        <v>557</v>
      </c>
      <c r="AU15" s="91" t="s">
        <v>559</v>
      </c>
      <c r="AV15" s="94">
        <v>80000.0</v>
      </c>
      <c r="AW15" s="91" t="s">
        <v>77</v>
      </c>
      <c r="AX15" s="258">
        <v>46081.0</v>
      </c>
    </row>
    <row r="16">
      <c r="A16" s="46">
        <v>46049.0</v>
      </c>
      <c r="B16" s="102" t="s">
        <v>564</v>
      </c>
      <c r="C16" s="132" t="s">
        <v>565</v>
      </c>
      <c r="D16" s="103">
        <v>142000.0</v>
      </c>
      <c r="E16" s="35" t="s">
        <v>567</v>
      </c>
      <c r="F16" s="33">
        <v>46049.0</v>
      </c>
      <c r="G16" s="159">
        <f>G18-G17</f>
        <v>411000</v>
      </c>
      <c r="N16" s="7"/>
      <c r="Q16" s="219" t="s">
        <v>278</v>
      </c>
      <c r="V16" s="260"/>
      <c r="W16" s="35" t="s">
        <v>573</v>
      </c>
      <c r="X16" s="102" t="s">
        <v>574</v>
      </c>
      <c r="Y16" s="73">
        <v>2100000.0</v>
      </c>
      <c r="Z16" s="102" t="s">
        <v>77</v>
      </c>
      <c r="AA16" s="33">
        <v>46110.0</v>
      </c>
      <c r="AJ16" s="253">
        <v>46122.0</v>
      </c>
      <c r="AK16" s="91" t="s">
        <v>576</v>
      </c>
      <c r="AL16" s="91" t="s">
        <v>577</v>
      </c>
      <c r="AM16" s="255">
        <v>380000.0</v>
      </c>
      <c r="AN16" s="34" t="s">
        <v>77</v>
      </c>
      <c r="AO16" s="96"/>
      <c r="AS16" s="261">
        <v>46112.0</v>
      </c>
      <c r="AT16" s="102" t="s">
        <v>578</v>
      </c>
      <c r="AU16" s="102" t="s">
        <v>579</v>
      </c>
      <c r="AV16" s="263">
        <v>80000.0</v>
      </c>
      <c r="AW16" s="35" t="s">
        <v>77</v>
      </c>
      <c r="AX16" s="218">
        <v>46138.0</v>
      </c>
    </row>
    <row r="17">
      <c r="A17" s="46">
        <v>46041.0</v>
      </c>
      <c r="B17" s="102" t="s">
        <v>582</v>
      </c>
      <c r="C17" s="132" t="s">
        <v>583</v>
      </c>
      <c r="D17" s="103">
        <v>106000.0</v>
      </c>
      <c r="E17" s="35" t="s">
        <v>584</v>
      </c>
      <c r="F17" s="33">
        <v>46049.0</v>
      </c>
      <c r="G17" s="159">
        <f>D13-D14+D16+D17+D18</f>
        <v>354000</v>
      </c>
      <c r="H17" s="19" t="s">
        <v>588</v>
      </c>
      <c r="M17" s="268"/>
      <c r="N17" s="7"/>
      <c r="Q17" s="271">
        <v>2644000.0</v>
      </c>
      <c r="R17" s="273" t="s">
        <v>591</v>
      </c>
      <c r="V17" s="275"/>
      <c r="W17" s="35" t="s">
        <v>593</v>
      </c>
      <c r="X17" s="35" t="s">
        <v>594</v>
      </c>
      <c r="Y17" s="37">
        <v>380000.0</v>
      </c>
      <c r="Z17" s="35" t="s">
        <v>77</v>
      </c>
      <c r="AA17" s="33">
        <v>46112.0</v>
      </c>
      <c r="AJ17" s="253">
        <v>46138.0</v>
      </c>
      <c r="AK17" s="34" t="s">
        <v>600</v>
      </c>
      <c r="AL17" s="77" t="s">
        <v>602</v>
      </c>
      <c r="AM17" s="42">
        <v>880000.0</v>
      </c>
      <c r="AN17" s="34" t="s">
        <v>77</v>
      </c>
      <c r="AO17" s="32">
        <v>46142.0</v>
      </c>
      <c r="AS17" s="261">
        <v>46117.0</v>
      </c>
      <c r="AT17" s="102" t="s">
        <v>605</v>
      </c>
      <c r="AU17" s="102" t="s">
        <v>606</v>
      </c>
      <c r="AV17" s="263">
        <v>200000.0</v>
      </c>
      <c r="AW17" s="35" t="s">
        <v>77</v>
      </c>
      <c r="AX17" s="96"/>
    </row>
    <row r="18">
      <c r="A18" s="46">
        <v>46043.0</v>
      </c>
      <c r="B18" s="102" t="s">
        <v>609</v>
      </c>
      <c r="C18" s="132" t="s">
        <v>227</v>
      </c>
      <c r="D18" s="103">
        <v>89000.0</v>
      </c>
      <c r="E18" s="35" t="s">
        <v>613</v>
      </c>
      <c r="F18" s="33">
        <v>46049.0</v>
      </c>
      <c r="G18" s="282">
        <v>765000.0</v>
      </c>
      <c r="H18" s="40" t="s">
        <v>10</v>
      </c>
      <c r="I18" s="283" t="s">
        <v>11</v>
      </c>
      <c r="J18" s="283" t="s">
        <v>13</v>
      </c>
      <c r="K18" s="283" t="s">
        <v>14</v>
      </c>
      <c r="L18" s="283" t="s">
        <v>15</v>
      </c>
      <c r="M18" s="283" t="s">
        <v>16</v>
      </c>
      <c r="N18" s="7"/>
      <c r="Q18" s="271">
        <v>2547000.0</v>
      </c>
      <c r="R18" s="273" t="s">
        <v>620</v>
      </c>
      <c r="V18" s="32">
        <v>46122.0</v>
      </c>
      <c r="W18" s="34" t="s">
        <v>622</v>
      </c>
      <c r="X18" s="34" t="s">
        <v>623</v>
      </c>
      <c r="Y18" s="42">
        <v>650000.0</v>
      </c>
      <c r="Z18" s="34" t="s">
        <v>77</v>
      </c>
      <c r="AA18" s="48">
        <v>46135.0</v>
      </c>
    </row>
    <row r="19">
      <c r="A19" s="46">
        <v>46048.0</v>
      </c>
      <c r="B19" s="288" t="s">
        <v>630</v>
      </c>
      <c r="C19" s="132" t="s">
        <v>634</v>
      </c>
      <c r="D19" s="103">
        <v>125000.0</v>
      </c>
      <c r="E19" s="102" t="s">
        <v>635</v>
      </c>
      <c r="F19" s="33">
        <v>46053.0</v>
      </c>
      <c r="G19" s="118">
        <f>G18+G12+G10</f>
        <v>2094000</v>
      </c>
      <c r="H19" s="32">
        <v>46137.0</v>
      </c>
      <c r="I19" s="34" t="s">
        <v>639</v>
      </c>
      <c r="J19" s="34" t="s">
        <v>640</v>
      </c>
      <c r="K19" s="294">
        <v>1100000.0</v>
      </c>
      <c r="L19" s="34" t="s">
        <v>29</v>
      </c>
      <c r="M19" s="32">
        <v>46142.0</v>
      </c>
      <c r="N19" s="7"/>
      <c r="Q19" s="271">
        <v>2558000.0</v>
      </c>
      <c r="R19" s="296" t="s">
        <v>645</v>
      </c>
      <c r="V19" s="32">
        <v>46122.0</v>
      </c>
      <c r="W19" s="34" t="s">
        <v>649</v>
      </c>
      <c r="X19" s="34" t="s">
        <v>650</v>
      </c>
      <c r="Y19" s="42">
        <v>600000.0</v>
      </c>
      <c r="Z19" s="34" t="s">
        <v>77</v>
      </c>
      <c r="AA19" s="71"/>
    </row>
    <row r="20">
      <c r="A20" s="46">
        <v>46049.0</v>
      </c>
      <c r="B20" s="288" t="s">
        <v>653</v>
      </c>
      <c r="C20" s="132" t="s">
        <v>320</v>
      </c>
      <c r="D20" s="103">
        <v>106000.0</v>
      </c>
      <c r="E20" s="102" t="s">
        <v>656</v>
      </c>
      <c r="F20" s="33">
        <v>46053.0</v>
      </c>
      <c r="G20" s="118"/>
      <c r="H20" s="301">
        <f>G10+G12+G18+G21</f>
        <v>2558000</v>
      </c>
      <c r="N20" s="7"/>
      <c r="P20" s="143"/>
      <c r="Q20" s="303">
        <f>Q18-Q19</f>
        <v>-11000</v>
      </c>
      <c r="R20" s="304"/>
      <c r="V20" s="32">
        <v>46122.0</v>
      </c>
      <c r="W20" s="34" t="s">
        <v>679</v>
      </c>
      <c r="X20" s="34" t="s">
        <v>680</v>
      </c>
      <c r="Y20" s="42">
        <v>650000.0</v>
      </c>
      <c r="Z20" s="34" t="s">
        <v>77</v>
      </c>
      <c r="AA20" s="71"/>
    </row>
    <row r="21">
      <c r="A21" s="46">
        <v>46050.0</v>
      </c>
      <c r="B21" s="288" t="s">
        <v>685</v>
      </c>
      <c r="C21" s="132" t="s">
        <v>687</v>
      </c>
      <c r="D21" s="103">
        <v>233000.0</v>
      </c>
      <c r="E21" s="102" t="s">
        <v>689</v>
      </c>
      <c r="F21" s="33">
        <v>46053.0</v>
      </c>
      <c r="G21" s="310">
        <v>464000.0</v>
      </c>
      <c r="H21" s="24" t="s">
        <v>691</v>
      </c>
      <c r="I21" s="31"/>
      <c r="J21" s="31"/>
      <c r="N21" s="7"/>
      <c r="Q21" s="51"/>
      <c r="R21" s="7"/>
      <c r="V21" s="32">
        <v>46142.0</v>
      </c>
      <c r="W21" s="34" t="s">
        <v>695</v>
      </c>
      <c r="X21" s="34" t="s">
        <v>696</v>
      </c>
      <c r="Y21" s="42">
        <v>600000.0</v>
      </c>
      <c r="Z21" s="34" t="s">
        <v>77</v>
      </c>
      <c r="AA21" s="32">
        <v>46142.0</v>
      </c>
    </row>
    <row r="22">
      <c r="A22" s="314">
        <v>46074.0</v>
      </c>
      <c r="B22" s="315" t="s">
        <v>722</v>
      </c>
      <c r="C22" s="132" t="s">
        <v>452</v>
      </c>
      <c r="D22" s="103">
        <v>100000.0</v>
      </c>
      <c r="E22" s="102" t="s">
        <v>725</v>
      </c>
      <c r="F22" s="33">
        <v>46081.0</v>
      </c>
      <c r="N22" s="7"/>
    </row>
    <row r="23">
      <c r="A23" s="314">
        <v>46061.0</v>
      </c>
      <c r="B23" s="315" t="s">
        <v>731</v>
      </c>
      <c r="C23" s="132" t="s">
        <v>466</v>
      </c>
      <c r="D23" s="103">
        <v>83000.0</v>
      </c>
      <c r="E23" s="102" t="s">
        <v>733</v>
      </c>
      <c r="F23" s="33">
        <v>46081.0</v>
      </c>
      <c r="I23" s="9"/>
      <c r="J23" s="316" t="s">
        <v>738</v>
      </c>
      <c r="Q23" s="9"/>
      <c r="R23" s="13" t="s">
        <v>741</v>
      </c>
    </row>
    <row r="24">
      <c r="A24" s="314">
        <v>46064.0</v>
      </c>
      <c r="B24" s="315" t="s">
        <v>743</v>
      </c>
      <c r="C24" s="132" t="s">
        <v>744</v>
      </c>
      <c r="D24" s="103">
        <v>125000.0</v>
      </c>
      <c r="E24" s="102" t="s">
        <v>745</v>
      </c>
      <c r="F24" s="33">
        <v>46081.0</v>
      </c>
      <c r="I24" s="16" t="s">
        <v>10</v>
      </c>
      <c r="J24" s="18" t="s">
        <v>13</v>
      </c>
      <c r="K24" s="18" t="s">
        <v>11</v>
      </c>
      <c r="L24" s="18" t="s">
        <v>14</v>
      </c>
      <c r="M24" s="18" t="s">
        <v>15</v>
      </c>
      <c r="N24" s="18" t="s">
        <v>16</v>
      </c>
      <c r="Q24" s="16" t="s">
        <v>10</v>
      </c>
      <c r="R24" s="18" t="s">
        <v>13</v>
      </c>
      <c r="S24" s="18" t="s">
        <v>11</v>
      </c>
      <c r="T24" s="18" t="s">
        <v>14</v>
      </c>
      <c r="U24" s="18" t="s">
        <v>15</v>
      </c>
      <c r="V24" s="18" t="s">
        <v>16</v>
      </c>
    </row>
    <row r="25">
      <c r="A25" s="314">
        <v>46058.0</v>
      </c>
      <c r="B25" s="102" t="s">
        <v>749</v>
      </c>
      <c r="C25" s="132" t="s">
        <v>751</v>
      </c>
      <c r="D25" s="103">
        <v>188000.0</v>
      </c>
      <c r="E25" s="102" t="s">
        <v>752</v>
      </c>
      <c r="F25" s="33">
        <v>46081.0</v>
      </c>
      <c r="I25" s="33">
        <v>46061.0</v>
      </c>
      <c r="J25" s="34" t="s">
        <v>89</v>
      </c>
      <c r="K25" s="34" t="s">
        <v>755</v>
      </c>
      <c r="L25" s="324">
        <v>100000.0</v>
      </c>
      <c r="M25" s="34" t="s">
        <v>29</v>
      </c>
      <c r="N25" s="33">
        <v>46069.0</v>
      </c>
      <c r="Q25" s="33">
        <v>46068.0</v>
      </c>
      <c r="R25" s="34" t="s">
        <v>760</v>
      </c>
      <c r="S25" s="34" t="s">
        <v>761</v>
      </c>
      <c r="T25" s="324">
        <v>36000.0</v>
      </c>
      <c r="U25" s="34" t="s">
        <v>29</v>
      </c>
      <c r="V25" s="33">
        <v>46068.0</v>
      </c>
      <c r="W25" s="219" t="s">
        <v>763</v>
      </c>
    </row>
    <row r="26">
      <c r="A26" s="314">
        <v>46065.0</v>
      </c>
      <c r="B26" s="102" t="s">
        <v>765</v>
      </c>
      <c r="C26" s="132" t="s">
        <v>767</v>
      </c>
      <c r="D26" s="103">
        <v>89000.0</v>
      </c>
      <c r="E26" s="102" t="s">
        <v>769</v>
      </c>
      <c r="F26" s="33">
        <v>46081.0</v>
      </c>
      <c r="I26" s="33">
        <v>46072.0</v>
      </c>
      <c r="J26" s="34" t="s">
        <v>139</v>
      </c>
      <c r="K26" s="34" t="s">
        <v>778</v>
      </c>
      <c r="L26" s="324">
        <v>75000.0</v>
      </c>
      <c r="M26" s="34" t="s">
        <v>29</v>
      </c>
      <c r="N26" s="33">
        <v>46078.0</v>
      </c>
      <c r="Q26" s="33">
        <v>46108.0</v>
      </c>
      <c r="R26" s="34" t="s">
        <v>779</v>
      </c>
      <c r="S26" s="34" t="s">
        <v>780</v>
      </c>
      <c r="T26" s="324">
        <v>450000.0</v>
      </c>
      <c r="U26" s="34" t="s">
        <v>29</v>
      </c>
      <c r="V26" s="33">
        <v>46110.0</v>
      </c>
    </row>
    <row r="27">
      <c r="A27" s="314">
        <v>46070.0</v>
      </c>
      <c r="B27" s="102" t="s">
        <v>784</v>
      </c>
      <c r="C27" s="132" t="s">
        <v>787</v>
      </c>
      <c r="D27" s="103">
        <v>224000.0</v>
      </c>
      <c r="E27" s="102" t="s">
        <v>790</v>
      </c>
      <c r="F27" s="33">
        <v>46081.0</v>
      </c>
      <c r="N27" s="7"/>
    </row>
    <row r="28">
      <c r="A28" s="314">
        <v>46070.0</v>
      </c>
      <c r="B28" s="102" t="s">
        <v>794</v>
      </c>
      <c r="C28" s="132" t="s">
        <v>796</v>
      </c>
      <c r="D28" s="103">
        <v>119000.0</v>
      </c>
      <c r="E28" s="102" t="s">
        <v>800</v>
      </c>
      <c r="F28" s="33">
        <v>46081.0</v>
      </c>
      <c r="N28" s="7"/>
    </row>
    <row r="29">
      <c r="A29" s="314">
        <v>46071.0</v>
      </c>
      <c r="B29" s="102" t="s">
        <v>804</v>
      </c>
      <c r="C29" s="132" t="s">
        <v>805</v>
      </c>
      <c r="D29" s="103">
        <v>89000.0</v>
      </c>
      <c r="E29" s="102" t="s">
        <v>806</v>
      </c>
      <c r="F29" s="33">
        <v>46081.0</v>
      </c>
      <c r="N29" s="7"/>
    </row>
    <row r="30">
      <c r="A30" s="314">
        <v>46062.0</v>
      </c>
      <c r="B30" s="102" t="s">
        <v>809</v>
      </c>
      <c r="C30" s="132" t="s">
        <v>810</v>
      </c>
      <c r="D30" s="103">
        <v>53000.0</v>
      </c>
      <c r="E30" s="102" t="s">
        <v>812</v>
      </c>
      <c r="F30" s="33">
        <v>46081.0</v>
      </c>
      <c r="N30" s="7"/>
    </row>
    <row r="31">
      <c r="A31" s="314">
        <v>46076.0</v>
      </c>
      <c r="B31" s="132" t="s">
        <v>818</v>
      </c>
      <c r="C31" s="132" t="s">
        <v>821</v>
      </c>
      <c r="D31" s="330">
        <v>161000.0</v>
      </c>
      <c r="E31" s="132" t="s">
        <v>826</v>
      </c>
      <c r="F31" s="33">
        <v>46081.0</v>
      </c>
      <c r="G31" s="331"/>
      <c r="H31" s="331"/>
      <c r="I31" s="331"/>
      <c r="J31" s="331"/>
      <c r="K31" s="331"/>
      <c r="L31" s="331"/>
      <c r="M31" s="331"/>
      <c r="N31" s="332"/>
      <c r="O31" s="331"/>
      <c r="P31" s="331"/>
      <c r="Q31" s="331"/>
      <c r="R31" s="331"/>
      <c r="S31" s="331"/>
      <c r="T31" s="331"/>
      <c r="U31" s="331"/>
    </row>
    <row r="32">
      <c r="A32" s="314">
        <v>46076.0</v>
      </c>
      <c r="B32" s="132" t="s">
        <v>838</v>
      </c>
      <c r="C32" s="132" t="s">
        <v>839</v>
      </c>
      <c r="D32" s="330">
        <v>149000.0</v>
      </c>
      <c r="E32" s="132" t="s">
        <v>840</v>
      </c>
      <c r="F32" s="33">
        <v>46081.0</v>
      </c>
      <c r="G32" s="331"/>
      <c r="H32" s="331"/>
      <c r="I32" s="331"/>
      <c r="J32" s="331"/>
      <c r="K32" s="331"/>
      <c r="L32" s="331"/>
      <c r="M32" s="331"/>
      <c r="N32" s="332"/>
      <c r="O32" s="331"/>
      <c r="P32" s="331"/>
      <c r="Q32" s="331"/>
      <c r="R32" s="331"/>
      <c r="S32" s="331"/>
      <c r="T32" s="331"/>
      <c r="U32" s="331"/>
    </row>
    <row r="33">
      <c r="A33" s="314">
        <v>46077.0</v>
      </c>
      <c r="B33" s="132" t="s">
        <v>844</v>
      </c>
      <c r="C33" s="132" t="s">
        <v>847</v>
      </c>
      <c r="D33" s="330">
        <v>197000.0</v>
      </c>
      <c r="E33" s="132" t="s">
        <v>849</v>
      </c>
      <c r="F33" s="33">
        <v>46081.0</v>
      </c>
      <c r="G33" s="331"/>
      <c r="H33" s="331"/>
      <c r="I33" s="331"/>
      <c r="J33" s="331"/>
      <c r="K33" s="331"/>
      <c r="L33" s="331"/>
      <c r="M33" s="331"/>
      <c r="N33" s="332"/>
      <c r="O33" s="331"/>
      <c r="P33" s="331"/>
      <c r="Q33" s="331"/>
      <c r="R33" s="331"/>
      <c r="S33" s="331"/>
      <c r="T33" s="331"/>
      <c r="U33" s="331"/>
    </row>
    <row r="34">
      <c r="A34" s="314">
        <v>46077.0</v>
      </c>
      <c r="B34" s="132" t="s">
        <v>858</v>
      </c>
      <c r="C34" s="132" t="s">
        <v>860</v>
      </c>
      <c r="D34" s="330">
        <v>89000.0</v>
      </c>
      <c r="E34" s="132" t="s">
        <v>861</v>
      </c>
      <c r="F34" s="33">
        <v>46081.0</v>
      </c>
      <c r="G34" s="331"/>
      <c r="H34" s="331"/>
      <c r="I34" s="331"/>
      <c r="J34" s="331"/>
      <c r="K34" s="331"/>
      <c r="L34" s="331"/>
      <c r="M34" s="331"/>
      <c r="N34" s="332"/>
      <c r="O34" s="331"/>
      <c r="P34" s="331"/>
      <c r="Q34" s="331"/>
      <c r="R34" s="331"/>
      <c r="S34" s="331"/>
      <c r="T34" s="331"/>
      <c r="U34" s="331"/>
    </row>
    <row r="35">
      <c r="A35" s="314">
        <v>46073.0</v>
      </c>
      <c r="B35" s="132" t="s">
        <v>866</v>
      </c>
      <c r="C35" s="132" t="s">
        <v>484</v>
      </c>
      <c r="D35" s="330">
        <v>70000.0</v>
      </c>
      <c r="E35" s="132" t="s">
        <v>867</v>
      </c>
      <c r="F35" s="33">
        <v>46081.0</v>
      </c>
      <c r="G35" s="331"/>
      <c r="H35" s="331"/>
      <c r="I35" s="331"/>
      <c r="J35" s="331"/>
      <c r="K35" s="331"/>
      <c r="L35" s="331"/>
      <c r="M35" s="331"/>
      <c r="N35" s="332"/>
      <c r="O35" s="331"/>
      <c r="P35" s="331"/>
      <c r="Q35" s="331"/>
      <c r="R35" s="331"/>
      <c r="S35" s="331"/>
      <c r="T35" s="331"/>
      <c r="U35" s="331"/>
    </row>
    <row r="36">
      <c r="A36" s="314">
        <v>46075.0</v>
      </c>
      <c r="B36" s="132" t="s">
        <v>870</v>
      </c>
      <c r="C36" s="132" t="s">
        <v>873</v>
      </c>
      <c r="D36" s="330">
        <v>89000.0</v>
      </c>
      <c r="E36" s="132" t="s">
        <v>875</v>
      </c>
      <c r="F36" s="33">
        <v>46081.0</v>
      </c>
      <c r="G36" s="334">
        <v>1825000.0</v>
      </c>
      <c r="H36" s="334" t="s">
        <v>879</v>
      </c>
      <c r="I36" s="331"/>
      <c r="J36" s="331"/>
      <c r="K36" s="331"/>
      <c r="L36" s="331"/>
      <c r="M36" s="331"/>
      <c r="N36" s="332"/>
      <c r="O36" s="331"/>
      <c r="P36" s="331"/>
      <c r="Q36" s="331"/>
      <c r="R36" s="331"/>
      <c r="S36" s="331"/>
      <c r="T36" s="331"/>
      <c r="U36" s="331"/>
    </row>
    <row r="37">
      <c r="A37" s="338">
        <v>46078.0</v>
      </c>
      <c r="B37" s="132" t="s">
        <v>888</v>
      </c>
      <c r="C37" s="132" t="s">
        <v>889</v>
      </c>
      <c r="D37" s="330">
        <v>89000.0</v>
      </c>
      <c r="E37" s="132" t="s">
        <v>890</v>
      </c>
      <c r="F37" s="259">
        <v>46091.0</v>
      </c>
      <c r="G37" s="331"/>
      <c r="H37" s="331"/>
      <c r="I37" s="331"/>
      <c r="J37" s="331"/>
      <c r="K37" s="331"/>
      <c r="L37" s="331"/>
      <c r="M37" s="331"/>
      <c r="N37" s="332"/>
      <c r="O37" s="331"/>
      <c r="P37" s="331"/>
      <c r="Q37" s="331"/>
      <c r="R37" s="331"/>
      <c r="S37" s="331"/>
      <c r="T37" s="331"/>
      <c r="U37" s="331"/>
    </row>
    <row r="38">
      <c r="A38" s="339">
        <v>46080.0</v>
      </c>
      <c r="B38" s="340" t="s">
        <v>904</v>
      </c>
      <c r="C38" s="340" t="s">
        <v>906</v>
      </c>
      <c r="D38" s="341">
        <v>161000.0</v>
      </c>
      <c r="E38" s="340" t="s">
        <v>909</v>
      </c>
      <c r="F38" s="233">
        <v>46091.0</v>
      </c>
      <c r="G38" s="334">
        <v>25000.0</v>
      </c>
      <c r="H38" s="334" t="s">
        <v>773</v>
      </c>
      <c r="I38" s="331"/>
      <c r="J38" s="331"/>
      <c r="K38" s="331"/>
      <c r="L38" s="331"/>
      <c r="M38" s="331"/>
      <c r="N38" s="332"/>
      <c r="O38" s="331"/>
      <c r="P38" s="331"/>
      <c r="Q38" s="331"/>
      <c r="R38" s="331"/>
      <c r="S38" s="331"/>
      <c r="T38" s="331"/>
      <c r="U38" s="331"/>
    </row>
    <row r="39">
      <c r="A39" s="343">
        <v>46093.0</v>
      </c>
      <c r="B39" s="132" t="s">
        <v>922</v>
      </c>
      <c r="C39" s="132" t="s">
        <v>923</v>
      </c>
      <c r="D39" s="330">
        <v>89000.0</v>
      </c>
      <c r="E39" s="132" t="s">
        <v>924</v>
      </c>
      <c r="F39" s="259">
        <v>46098.0</v>
      </c>
      <c r="G39" s="331"/>
      <c r="H39" s="331"/>
      <c r="I39" s="331"/>
      <c r="J39" s="331"/>
      <c r="K39" s="331"/>
      <c r="L39" s="331"/>
      <c r="M39" s="331"/>
      <c r="N39" s="332"/>
      <c r="O39" s="331"/>
      <c r="P39" s="331"/>
      <c r="Q39" s="331"/>
      <c r="R39" s="331"/>
      <c r="S39" s="331"/>
      <c r="T39" s="331"/>
      <c r="U39" s="331"/>
    </row>
    <row r="40">
      <c r="A40" s="343">
        <v>46090.0</v>
      </c>
      <c r="B40" s="132" t="s">
        <v>929</v>
      </c>
      <c r="C40" s="132" t="s">
        <v>930</v>
      </c>
      <c r="D40" s="330">
        <v>161000.0</v>
      </c>
      <c r="E40" s="132" t="s">
        <v>931</v>
      </c>
      <c r="F40" s="259">
        <v>46098.0</v>
      </c>
      <c r="G40" s="331"/>
      <c r="H40" s="331"/>
      <c r="I40" s="331"/>
      <c r="J40" s="331"/>
      <c r="K40" s="331"/>
      <c r="L40" s="331"/>
      <c r="M40" s="331"/>
      <c r="N40" s="332"/>
      <c r="O40" s="331"/>
      <c r="P40" s="331"/>
      <c r="Q40" s="331"/>
      <c r="R40" s="331"/>
      <c r="S40" s="331"/>
      <c r="T40" s="331"/>
      <c r="U40" s="331"/>
    </row>
    <row r="41">
      <c r="A41" s="343">
        <v>46086.0</v>
      </c>
      <c r="B41" s="132" t="s">
        <v>932</v>
      </c>
      <c r="C41" s="132" t="s">
        <v>586</v>
      </c>
      <c r="D41" s="330">
        <v>106000.0</v>
      </c>
      <c r="E41" s="132" t="s">
        <v>933</v>
      </c>
      <c r="F41" s="259">
        <v>46098.0</v>
      </c>
      <c r="G41" s="331"/>
      <c r="H41" s="331"/>
      <c r="I41" s="331"/>
      <c r="J41" s="331"/>
      <c r="K41" s="331"/>
      <c r="L41" s="331"/>
      <c r="M41" s="331"/>
      <c r="N41" s="332"/>
      <c r="O41" s="331"/>
      <c r="P41" s="331"/>
      <c r="Q41" s="331"/>
      <c r="R41" s="331"/>
      <c r="S41" s="331"/>
      <c r="T41" s="331"/>
      <c r="U41" s="331"/>
    </row>
    <row r="42">
      <c r="A42" s="343">
        <v>46085.0</v>
      </c>
      <c r="B42" s="132" t="s">
        <v>936</v>
      </c>
      <c r="C42" s="132" t="s">
        <v>610</v>
      </c>
      <c r="D42" s="330">
        <v>100000.0</v>
      </c>
      <c r="E42" s="132" t="s">
        <v>938</v>
      </c>
      <c r="F42" s="259">
        <v>46098.0</v>
      </c>
      <c r="G42" s="331"/>
      <c r="H42" s="331"/>
      <c r="I42" s="331"/>
      <c r="J42" s="331"/>
      <c r="K42" s="331"/>
      <c r="L42" s="331"/>
      <c r="M42" s="331"/>
      <c r="N42" s="332"/>
      <c r="O42" s="331"/>
      <c r="P42" s="331"/>
      <c r="Q42" s="331"/>
      <c r="R42" s="331"/>
      <c r="S42" s="331"/>
      <c r="T42" s="331"/>
      <c r="U42" s="331"/>
    </row>
    <row r="43">
      <c r="A43" s="343">
        <v>46092.0</v>
      </c>
      <c r="B43" s="132" t="s">
        <v>941</v>
      </c>
      <c r="C43" s="132" t="s">
        <v>942</v>
      </c>
      <c r="D43" s="330">
        <v>89000.0</v>
      </c>
      <c r="E43" s="132" t="s">
        <v>943</v>
      </c>
      <c r="F43" s="259">
        <v>46098.0</v>
      </c>
      <c r="G43" s="331"/>
      <c r="H43" s="331"/>
      <c r="I43" s="331"/>
      <c r="J43" s="331"/>
      <c r="K43" s="331"/>
      <c r="L43" s="331"/>
      <c r="M43" s="331"/>
      <c r="N43" s="332"/>
      <c r="O43" s="331"/>
      <c r="P43" s="331"/>
      <c r="Q43" s="331"/>
      <c r="R43" s="331"/>
      <c r="S43" s="331"/>
      <c r="T43" s="331"/>
      <c r="U43" s="331"/>
    </row>
    <row r="44">
      <c r="A44" s="343">
        <v>46089.0</v>
      </c>
      <c r="B44" s="132" t="s">
        <v>951</v>
      </c>
      <c r="C44" s="132" t="s">
        <v>952</v>
      </c>
      <c r="D44" s="330">
        <v>257000.0</v>
      </c>
      <c r="E44" s="132" t="s">
        <v>954</v>
      </c>
      <c r="F44" s="259">
        <v>46098.0</v>
      </c>
      <c r="G44" s="331"/>
      <c r="H44" s="331"/>
      <c r="I44" s="331"/>
      <c r="J44" s="331"/>
      <c r="K44" s="331"/>
      <c r="L44" s="331"/>
      <c r="M44" s="331"/>
      <c r="N44" s="332"/>
      <c r="O44" s="332"/>
      <c r="P44" s="332"/>
      <c r="Q44" s="332"/>
      <c r="R44" s="331"/>
      <c r="S44" s="331"/>
      <c r="T44" s="331"/>
      <c r="U44" s="331"/>
    </row>
    <row r="45">
      <c r="A45" s="343">
        <v>46094.0</v>
      </c>
      <c r="B45" s="132" t="s">
        <v>962</v>
      </c>
      <c r="C45" s="132" t="s">
        <v>637</v>
      </c>
      <c r="D45" s="330">
        <v>139000.0</v>
      </c>
      <c r="E45" s="132" t="s">
        <v>965</v>
      </c>
      <c r="F45" s="259">
        <v>46098.0</v>
      </c>
      <c r="G45" s="331"/>
      <c r="H45" s="331"/>
      <c r="I45" s="331"/>
      <c r="J45" s="331"/>
      <c r="K45" s="331"/>
      <c r="L45" s="331"/>
      <c r="M45" s="331"/>
      <c r="N45" s="356"/>
      <c r="O45" s="304"/>
      <c r="P45" s="332"/>
      <c r="Q45" s="332"/>
      <c r="R45" s="331"/>
      <c r="S45" s="331"/>
      <c r="T45" s="331"/>
      <c r="U45" s="331"/>
    </row>
    <row r="46">
      <c r="A46" s="343">
        <v>46094.0</v>
      </c>
      <c r="B46" s="132" t="s">
        <v>975</v>
      </c>
      <c r="C46" s="132" t="s">
        <v>977</v>
      </c>
      <c r="D46" s="330">
        <v>89000.0</v>
      </c>
      <c r="E46" s="132" t="s">
        <v>979</v>
      </c>
      <c r="F46" s="259">
        <v>46098.0</v>
      </c>
      <c r="G46" s="334">
        <v>1030000.0</v>
      </c>
      <c r="H46" s="334" t="s">
        <v>773</v>
      </c>
      <c r="I46" s="331"/>
      <c r="J46" s="331"/>
      <c r="K46" s="331"/>
      <c r="L46" s="331"/>
      <c r="M46" s="331"/>
      <c r="N46" s="358"/>
      <c r="O46" s="304"/>
      <c r="P46" s="332"/>
      <c r="Q46" s="332"/>
      <c r="R46" s="331"/>
      <c r="S46" s="331"/>
      <c r="T46" s="331"/>
      <c r="U46" s="331"/>
    </row>
    <row r="47">
      <c r="A47" s="343">
        <v>46099.0</v>
      </c>
      <c r="B47" s="132" t="s">
        <v>989</v>
      </c>
      <c r="C47" s="132" t="s">
        <v>990</v>
      </c>
      <c r="D47" s="359">
        <v>50000.0</v>
      </c>
      <c r="E47" s="132" t="s">
        <v>992</v>
      </c>
      <c r="F47" s="259">
        <v>46105.0</v>
      </c>
      <c r="G47" s="331"/>
      <c r="H47" s="331"/>
      <c r="I47" s="331"/>
      <c r="J47" s="331"/>
      <c r="K47" s="331"/>
      <c r="L47" s="331"/>
      <c r="M47" s="331"/>
      <c r="N47" s="51"/>
      <c r="O47" s="304"/>
      <c r="P47" s="332"/>
      <c r="Q47" s="332"/>
      <c r="R47" s="331"/>
      <c r="S47" s="331"/>
      <c r="T47" s="331"/>
      <c r="U47" s="331"/>
    </row>
    <row r="48">
      <c r="A48" s="343">
        <v>46101.0</v>
      </c>
      <c r="B48" s="132" t="s">
        <v>998</v>
      </c>
      <c r="C48" s="132" t="s">
        <v>999</v>
      </c>
      <c r="D48" s="359">
        <v>269000.0</v>
      </c>
      <c r="E48" s="132" t="s">
        <v>1000</v>
      </c>
      <c r="F48" s="259">
        <v>46105.0</v>
      </c>
      <c r="G48" s="331"/>
      <c r="H48" s="331"/>
      <c r="I48" s="331"/>
      <c r="K48" s="331"/>
      <c r="L48" s="331"/>
      <c r="M48" s="331"/>
      <c r="N48" s="356"/>
      <c r="O48" s="304"/>
      <c r="P48" s="332"/>
      <c r="Q48" s="332"/>
      <c r="R48" s="331"/>
      <c r="S48" s="331"/>
      <c r="T48" s="331"/>
      <c r="U48" s="331"/>
    </row>
    <row r="49">
      <c r="A49" s="343">
        <v>46100.0</v>
      </c>
      <c r="B49" s="132" t="s">
        <v>1002</v>
      </c>
      <c r="C49" s="132" t="s">
        <v>1004</v>
      </c>
      <c r="D49" s="359">
        <v>116000.0</v>
      </c>
      <c r="E49" s="132" t="s">
        <v>1005</v>
      </c>
      <c r="F49" s="259">
        <v>46105.0</v>
      </c>
      <c r="G49" s="331"/>
      <c r="H49" s="331"/>
      <c r="I49" s="331"/>
      <c r="J49" s="331"/>
      <c r="K49" s="331"/>
      <c r="L49" s="331"/>
      <c r="M49" s="331"/>
      <c r="N49" s="51"/>
      <c r="O49" s="7"/>
      <c r="P49" s="332"/>
      <c r="Q49" s="332"/>
      <c r="R49" s="331"/>
      <c r="S49" s="331"/>
      <c r="T49" s="331"/>
      <c r="U49" s="331"/>
    </row>
    <row r="50">
      <c r="A50" s="343">
        <v>46098.0</v>
      </c>
      <c r="B50" s="132" t="s">
        <v>1007</v>
      </c>
      <c r="C50" s="132" t="s">
        <v>1010</v>
      </c>
      <c r="D50" s="359">
        <v>161000.0</v>
      </c>
      <c r="E50" s="132" t="s">
        <v>1011</v>
      </c>
      <c r="F50" s="259">
        <v>46105.0</v>
      </c>
      <c r="G50" s="331"/>
      <c r="H50" s="331"/>
      <c r="I50" s="331"/>
      <c r="J50" s="331"/>
      <c r="K50" s="331"/>
      <c r="L50" s="331"/>
      <c r="M50" s="331"/>
      <c r="N50" s="332"/>
      <c r="O50" s="332"/>
      <c r="P50" s="332"/>
      <c r="Q50" s="332"/>
      <c r="R50" s="331"/>
      <c r="S50" s="331"/>
      <c r="T50" s="331"/>
      <c r="U50" s="331"/>
    </row>
    <row r="51">
      <c r="A51" s="343">
        <v>46097.0</v>
      </c>
      <c r="B51" s="132" t="s">
        <v>1012</v>
      </c>
      <c r="C51" s="132" t="s">
        <v>1013</v>
      </c>
      <c r="D51" s="359">
        <v>89000.0</v>
      </c>
      <c r="E51" s="132" t="s">
        <v>1014</v>
      </c>
      <c r="F51" s="259">
        <v>46105.0</v>
      </c>
      <c r="G51" s="331"/>
      <c r="H51" s="331"/>
      <c r="I51" s="331"/>
      <c r="J51" s="331"/>
      <c r="K51" s="331"/>
      <c r="L51" s="331"/>
      <c r="M51" s="331"/>
      <c r="N51" s="367"/>
      <c r="O51" s="367"/>
      <c r="P51" s="369"/>
      <c r="Q51" s="332"/>
      <c r="R51" s="331"/>
      <c r="S51" s="331"/>
      <c r="T51" s="331"/>
      <c r="U51" s="331"/>
    </row>
    <row r="52">
      <c r="A52" s="343">
        <v>46096.0</v>
      </c>
      <c r="B52" s="132" t="s">
        <v>1016</v>
      </c>
      <c r="C52" s="132" t="s">
        <v>1017</v>
      </c>
      <c r="D52" s="359">
        <v>103000.0</v>
      </c>
      <c r="E52" s="132" t="s">
        <v>1018</v>
      </c>
      <c r="F52" s="259">
        <v>46105.0</v>
      </c>
      <c r="G52" s="334">
        <v>788000.0</v>
      </c>
      <c r="H52" s="334" t="s">
        <v>773</v>
      </c>
      <c r="I52" s="331"/>
      <c r="J52" s="331"/>
      <c r="K52" s="331"/>
      <c r="L52" s="331"/>
      <c r="M52" s="331"/>
      <c r="N52" s="332"/>
      <c r="O52" s="332"/>
      <c r="P52" s="332"/>
      <c r="Q52" s="332"/>
      <c r="R52" s="331"/>
      <c r="S52" s="331"/>
      <c r="T52" s="331"/>
      <c r="U52" s="331"/>
    </row>
    <row r="53">
      <c r="A53" s="343">
        <v>46107.0</v>
      </c>
      <c r="B53" s="132" t="s">
        <v>1020</v>
      </c>
      <c r="C53" s="132" t="s">
        <v>1021</v>
      </c>
      <c r="D53" s="330">
        <v>106000.0</v>
      </c>
      <c r="E53" s="132" t="s">
        <v>1022</v>
      </c>
      <c r="F53" s="376">
        <v>46110.0</v>
      </c>
      <c r="G53" s="331"/>
      <c r="H53" s="331"/>
      <c r="I53" s="331"/>
      <c r="J53" s="331"/>
      <c r="K53" s="331"/>
      <c r="L53" s="331"/>
      <c r="M53" s="331"/>
      <c r="N53" s="332"/>
      <c r="O53" s="332"/>
      <c r="P53" s="332"/>
      <c r="Q53" s="332"/>
      <c r="R53" s="331"/>
      <c r="S53" s="331"/>
      <c r="T53" s="331"/>
      <c r="U53" s="331"/>
    </row>
    <row r="54">
      <c r="A54" s="343">
        <v>46106.0</v>
      </c>
      <c r="B54" s="132" t="s">
        <v>1025</v>
      </c>
      <c r="C54" s="132" t="s">
        <v>1026</v>
      </c>
      <c r="D54" s="330">
        <v>331000.0</v>
      </c>
      <c r="E54" s="132" t="s">
        <v>1027</v>
      </c>
      <c r="F54" s="376">
        <v>46110.0</v>
      </c>
      <c r="G54" s="334">
        <v>437000.0</v>
      </c>
      <c r="H54" s="334" t="s">
        <v>773</v>
      </c>
      <c r="I54" s="331"/>
      <c r="J54" s="331"/>
      <c r="K54" s="331"/>
      <c r="L54" s="331"/>
      <c r="M54" s="331"/>
      <c r="N54" s="332"/>
      <c r="O54" s="331"/>
      <c r="P54" s="331"/>
      <c r="Q54" s="331"/>
      <c r="R54" s="331"/>
      <c r="S54" s="331"/>
      <c r="T54" s="331"/>
      <c r="U54" s="331"/>
    </row>
    <row r="55">
      <c r="A55" s="261">
        <v>46117.0</v>
      </c>
      <c r="B55" s="132" t="s">
        <v>1029</v>
      </c>
      <c r="C55" s="132" t="s">
        <v>1030</v>
      </c>
      <c r="D55" s="330">
        <v>114000.0</v>
      </c>
      <c r="E55" s="132" t="s">
        <v>1032</v>
      </c>
      <c r="F55" s="381">
        <v>46132.0</v>
      </c>
      <c r="G55" s="332">
        <f>114000-144000</f>
        <v>-30000</v>
      </c>
      <c r="I55" s="332"/>
      <c r="J55" s="332"/>
      <c r="K55" s="332"/>
      <c r="L55" s="332"/>
      <c r="M55" s="332"/>
      <c r="N55" s="332"/>
      <c r="O55" s="332"/>
      <c r="P55" s="332"/>
      <c r="Q55" s="332"/>
      <c r="R55" s="332"/>
      <c r="S55" s="332"/>
      <c r="T55" s="332"/>
      <c r="U55" s="332"/>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row>
    <row r="56">
      <c r="A56" s="261">
        <v>46127.0</v>
      </c>
      <c r="B56" s="132" t="s">
        <v>1039</v>
      </c>
      <c r="C56" s="132" t="s">
        <v>1040</v>
      </c>
      <c r="D56" s="330">
        <v>86000.0</v>
      </c>
      <c r="E56" s="132" t="s">
        <v>1041</v>
      </c>
      <c r="F56" s="71"/>
      <c r="G56" s="332"/>
      <c r="H56" s="332"/>
      <c r="I56" s="332"/>
      <c r="J56" s="332"/>
      <c r="K56" s="332"/>
      <c r="L56" s="332"/>
      <c r="M56" s="332"/>
      <c r="N56" s="332"/>
      <c r="O56" s="332"/>
      <c r="P56" s="332"/>
      <c r="Q56" s="332"/>
      <c r="R56" s="332"/>
      <c r="S56" s="332"/>
      <c r="T56" s="332"/>
      <c r="U56" s="332"/>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row>
    <row r="57">
      <c r="A57" s="386">
        <v>46118.0</v>
      </c>
      <c r="B57" s="132" t="s">
        <v>1046</v>
      </c>
      <c r="C57" s="132" t="s">
        <v>808</v>
      </c>
      <c r="D57" s="330">
        <v>53000.0</v>
      </c>
      <c r="E57" s="132" t="s">
        <v>1048</v>
      </c>
      <c r="F57" s="71"/>
      <c r="G57" s="332"/>
      <c r="H57" s="332"/>
      <c r="I57" s="332"/>
      <c r="J57" s="332"/>
      <c r="K57" s="332"/>
      <c r="L57" s="332"/>
      <c r="M57" s="332"/>
      <c r="N57" s="332"/>
      <c r="O57" s="332"/>
      <c r="P57" s="332"/>
      <c r="Q57" s="332"/>
      <c r="R57" s="332"/>
      <c r="S57" s="332"/>
      <c r="T57" s="332"/>
      <c r="U57" s="332"/>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row>
    <row r="58">
      <c r="A58" s="386">
        <v>46113.0</v>
      </c>
      <c r="B58" s="132" t="s">
        <v>1049</v>
      </c>
      <c r="C58" s="132" t="s">
        <v>1050</v>
      </c>
      <c r="D58" s="330">
        <v>305000.0</v>
      </c>
      <c r="E58" s="132" t="s">
        <v>1051</v>
      </c>
      <c r="F58" s="96"/>
      <c r="G58" s="332"/>
      <c r="H58" s="332"/>
      <c r="I58" s="332"/>
      <c r="J58" s="332"/>
      <c r="K58" s="332"/>
      <c r="L58" s="332"/>
      <c r="M58" s="332"/>
      <c r="N58" s="332"/>
      <c r="O58" s="332"/>
      <c r="P58" s="332"/>
      <c r="Q58" s="332"/>
      <c r="R58" s="332"/>
      <c r="S58" s="332"/>
      <c r="T58" s="332"/>
      <c r="U58" s="332"/>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row>
    <row r="59">
      <c r="A59" s="386">
        <v>46114.0</v>
      </c>
      <c r="B59" s="132" t="s">
        <v>1053</v>
      </c>
      <c r="C59" s="132" t="s">
        <v>649</v>
      </c>
      <c r="D59" s="330">
        <v>227000.0</v>
      </c>
      <c r="E59" s="132" t="s">
        <v>1054</v>
      </c>
      <c r="F59" s="389" t="s">
        <v>1055</v>
      </c>
      <c r="G59" s="390"/>
      <c r="H59" s="332"/>
      <c r="I59" s="332"/>
      <c r="J59" s="332"/>
      <c r="K59" s="332"/>
      <c r="L59" s="332"/>
      <c r="M59" s="332"/>
      <c r="N59" s="332"/>
      <c r="O59" s="332"/>
      <c r="P59" s="332"/>
      <c r="Q59" s="332"/>
      <c r="R59" s="332"/>
      <c r="S59" s="332"/>
      <c r="T59" s="332"/>
      <c r="U59" s="332"/>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row>
    <row r="60">
      <c r="A60" s="386">
        <v>46122.0</v>
      </c>
      <c r="B60" s="132" t="s">
        <v>1057</v>
      </c>
      <c r="C60" s="132" t="s">
        <v>782</v>
      </c>
      <c r="D60" s="330">
        <v>106000.0</v>
      </c>
      <c r="E60" s="132" t="s">
        <v>1058</v>
      </c>
      <c r="F60" s="381">
        <v>46132.0</v>
      </c>
      <c r="G60" s="332"/>
      <c r="H60" s="332"/>
      <c r="I60" s="332"/>
      <c r="J60" s="332"/>
      <c r="K60" s="332"/>
      <c r="L60" s="332"/>
      <c r="M60" s="332"/>
      <c r="N60" s="332"/>
      <c r="O60" s="332"/>
      <c r="P60" s="332"/>
      <c r="Q60" s="332"/>
      <c r="R60" s="332"/>
      <c r="S60" s="332"/>
      <c r="T60" s="332"/>
      <c r="U60" s="332"/>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row>
    <row r="61">
      <c r="A61" s="394">
        <v>46110.0</v>
      </c>
      <c r="B61" s="132" t="s">
        <v>1063</v>
      </c>
      <c r="C61" s="132" t="s">
        <v>593</v>
      </c>
      <c r="D61" s="330">
        <v>125000.0</v>
      </c>
      <c r="E61" s="132" t="s">
        <v>1064</v>
      </c>
      <c r="F61" s="71"/>
      <c r="G61" s="332"/>
      <c r="H61" s="332"/>
      <c r="I61" s="332"/>
      <c r="J61" s="332"/>
      <c r="K61" s="332"/>
      <c r="L61" s="332"/>
      <c r="M61" s="332"/>
      <c r="N61" s="332"/>
      <c r="O61" s="332"/>
      <c r="P61" s="332"/>
      <c r="Q61" s="332"/>
      <c r="R61" s="332"/>
      <c r="S61" s="332"/>
      <c r="T61" s="332"/>
      <c r="U61" s="332"/>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row>
    <row r="62">
      <c r="A62" s="394">
        <v>46112.0</v>
      </c>
      <c r="B62" s="132" t="s">
        <v>1066</v>
      </c>
      <c r="C62" s="132" t="s">
        <v>605</v>
      </c>
      <c r="D62" s="330">
        <v>158000.0</v>
      </c>
      <c r="E62" s="396" t="s">
        <v>1067</v>
      </c>
      <c r="F62" s="96"/>
      <c r="H62" s="332"/>
      <c r="I62" s="332"/>
      <c r="J62" s="332"/>
      <c r="K62" s="332"/>
      <c r="L62" s="332"/>
      <c r="M62" s="332"/>
      <c r="N62" s="332"/>
      <c r="O62" s="332"/>
      <c r="P62" s="332"/>
      <c r="Q62" s="332"/>
      <c r="R62" s="332"/>
      <c r="S62" s="332"/>
      <c r="T62" s="332"/>
      <c r="U62" s="332"/>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row>
    <row r="63">
      <c r="A63" s="394">
        <v>46112.0</v>
      </c>
      <c r="B63" s="132" t="s">
        <v>1069</v>
      </c>
      <c r="C63" s="132" t="s">
        <v>1070</v>
      </c>
      <c r="D63" s="330">
        <v>326000.0</v>
      </c>
      <c r="E63" s="132" t="s">
        <v>1071</v>
      </c>
      <c r="F63" s="389" t="s">
        <v>1055</v>
      </c>
      <c r="G63" s="390">
        <v>813000.0</v>
      </c>
      <c r="H63" s="390" t="s">
        <v>1072</v>
      </c>
      <c r="I63" s="397">
        <f>D63+D59+D73</f>
        <v>813000</v>
      </c>
      <c r="J63" s="332"/>
      <c r="K63" s="332"/>
      <c r="L63" s="332"/>
      <c r="M63" s="332"/>
      <c r="N63" s="332"/>
      <c r="O63" s="332"/>
      <c r="P63" s="332"/>
      <c r="Q63" s="332"/>
      <c r="R63" s="332"/>
      <c r="S63" s="332"/>
      <c r="T63" s="332"/>
      <c r="U63" s="332"/>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row>
    <row r="64">
      <c r="A64" s="394">
        <v>46111.0</v>
      </c>
      <c r="B64" s="132" t="s">
        <v>1075</v>
      </c>
      <c r="C64" s="132" t="s">
        <v>1076</v>
      </c>
      <c r="D64" s="330">
        <v>106000.0</v>
      </c>
      <c r="E64" s="132" t="s">
        <v>1077</v>
      </c>
      <c r="F64" s="381">
        <v>46132.0</v>
      </c>
      <c r="G64" s="332"/>
      <c r="H64" s="332"/>
      <c r="I64" s="332"/>
      <c r="J64" s="332"/>
      <c r="K64" s="332"/>
      <c r="L64" s="332"/>
      <c r="M64" s="332"/>
      <c r="N64" s="332"/>
      <c r="O64" s="332"/>
      <c r="P64" s="332"/>
      <c r="Q64" s="332"/>
      <c r="R64" s="332"/>
      <c r="S64" s="332"/>
      <c r="T64" s="332"/>
      <c r="U64" s="332"/>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row>
    <row r="65">
      <c r="A65" s="401">
        <v>46127.0</v>
      </c>
      <c r="B65" s="402" t="s">
        <v>1080</v>
      </c>
      <c r="C65" s="402" t="s">
        <v>1081</v>
      </c>
      <c r="D65" s="403">
        <v>34000.0</v>
      </c>
      <c r="E65" s="402" t="s">
        <v>1082</v>
      </c>
      <c r="F65" s="71"/>
      <c r="G65" s="331"/>
      <c r="H65" s="331"/>
      <c r="I65" s="331"/>
      <c r="J65" s="331"/>
      <c r="K65" s="331"/>
      <c r="L65" s="331"/>
      <c r="M65" s="331"/>
      <c r="N65" s="332"/>
      <c r="O65" s="331"/>
      <c r="P65" s="331"/>
      <c r="Q65" s="331"/>
      <c r="R65" s="331"/>
      <c r="S65" s="331"/>
      <c r="T65" s="331"/>
      <c r="U65" s="331"/>
    </row>
    <row r="66">
      <c r="A66" s="405">
        <v>46126.0</v>
      </c>
      <c r="B66" s="132" t="s">
        <v>1085</v>
      </c>
      <c r="C66" s="406" t="s">
        <v>552</v>
      </c>
      <c r="D66" s="407">
        <v>89000.0</v>
      </c>
      <c r="E66" s="406" t="s">
        <v>1087</v>
      </c>
      <c r="F66" s="71"/>
      <c r="G66" s="331"/>
      <c r="H66" s="331"/>
      <c r="I66" s="408">
        <f>D60+D61+D62+D64+D65+D66+D67+D68+D69+D70+D71+D72+D58+D57+D56+D55</f>
        <v>1654000</v>
      </c>
      <c r="J66" s="331"/>
      <c r="K66" s="331"/>
      <c r="L66" s="331"/>
      <c r="M66" s="331"/>
      <c r="N66" s="332"/>
      <c r="O66" s="331"/>
      <c r="P66" s="331"/>
      <c r="Q66" s="331"/>
      <c r="R66" s="331"/>
      <c r="S66" s="331"/>
      <c r="T66" s="331"/>
      <c r="U66" s="331"/>
    </row>
    <row r="67">
      <c r="A67" s="409">
        <v>45762.0</v>
      </c>
      <c r="B67" s="402" t="s">
        <v>1080</v>
      </c>
      <c r="C67" s="402" t="s">
        <v>1081</v>
      </c>
      <c r="D67" s="403">
        <v>34000.0</v>
      </c>
      <c r="E67" s="402" t="s">
        <v>1082</v>
      </c>
      <c r="F67" s="71"/>
      <c r="G67" s="334">
        <v>4000.0</v>
      </c>
      <c r="H67" s="334" t="s">
        <v>1090</v>
      </c>
      <c r="I67" s="331"/>
      <c r="J67" s="331"/>
      <c r="K67" s="331"/>
      <c r="L67" s="331"/>
      <c r="M67" s="331"/>
      <c r="N67" s="332"/>
      <c r="O67" s="331"/>
      <c r="P67" s="331"/>
      <c r="Q67" s="331"/>
      <c r="R67" s="331"/>
      <c r="S67" s="331"/>
      <c r="T67" s="331"/>
      <c r="U67" s="331"/>
    </row>
    <row r="68">
      <c r="A68" s="405">
        <v>46125.0</v>
      </c>
      <c r="B68" s="132" t="s">
        <v>1091</v>
      </c>
      <c r="C68" s="406" t="s">
        <v>1092</v>
      </c>
      <c r="D68" s="407">
        <v>106000.0</v>
      </c>
      <c r="E68" s="406" t="s">
        <v>1093</v>
      </c>
      <c r="F68" s="71"/>
      <c r="G68" s="331"/>
      <c r="H68" s="331"/>
      <c r="I68" s="331"/>
      <c r="J68" s="331"/>
      <c r="K68" s="411"/>
      <c r="L68" s="412"/>
      <c r="M68" s="411"/>
      <c r="N68" s="411"/>
      <c r="O68" s="331"/>
      <c r="P68" s="331"/>
      <c r="Q68" s="331"/>
      <c r="R68" s="331"/>
      <c r="S68" s="331"/>
      <c r="T68" s="331"/>
      <c r="U68" s="331"/>
    </row>
    <row r="69">
      <c r="A69" s="405">
        <v>46125.0</v>
      </c>
      <c r="B69" s="132" t="s">
        <v>1098</v>
      </c>
      <c r="C69" s="406" t="s">
        <v>1099</v>
      </c>
      <c r="D69" s="407">
        <v>119000.0</v>
      </c>
      <c r="E69" s="406" t="s">
        <v>1100</v>
      </c>
      <c r="F69" s="71"/>
      <c r="G69" s="331"/>
      <c r="H69" s="331"/>
      <c r="I69" s="331"/>
      <c r="J69" s="331"/>
      <c r="K69" s="411"/>
      <c r="L69" s="412"/>
      <c r="M69" s="413"/>
      <c r="N69" s="411"/>
      <c r="O69" s="331"/>
      <c r="P69" s="331"/>
      <c r="Q69" s="331"/>
      <c r="R69" s="331"/>
      <c r="S69" s="331"/>
      <c r="T69" s="331"/>
      <c r="U69" s="331"/>
    </row>
    <row r="70">
      <c r="A70" s="405">
        <v>46122.0</v>
      </c>
      <c r="B70" s="132" t="s">
        <v>1101</v>
      </c>
      <c r="C70" s="406" t="s">
        <v>1102</v>
      </c>
      <c r="D70" s="407">
        <v>83000.0</v>
      </c>
      <c r="E70" s="406" t="s">
        <v>1103</v>
      </c>
      <c r="F70" s="71"/>
      <c r="G70" s="331"/>
      <c r="H70" s="331"/>
      <c r="I70" s="331"/>
      <c r="J70" s="331"/>
      <c r="K70" s="411"/>
      <c r="L70" s="418"/>
      <c r="M70" s="420"/>
      <c r="N70" s="411"/>
      <c r="O70" s="331"/>
      <c r="P70" s="331"/>
      <c r="Q70" s="331"/>
      <c r="R70" s="331"/>
      <c r="S70" s="331"/>
      <c r="T70" s="331"/>
      <c r="U70" s="331"/>
    </row>
    <row r="71">
      <c r="A71" s="405">
        <v>46120.0</v>
      </c>
      <c r="B71" s="132" t="s">
        <v>1105</v>
      </c>
      <c r="C71" s="406" t="s">
        <v>1106</v>
      </c>
      <c r="D71" s="407">
        <v>53000.0</v>
      </c>
      <c r="E71" s="406" t="s">
        <v>1107</v>
      </c>
      <c r="F71" s="71"/>
      <c r="G71" s="331"/>
      <c r="H71" s="331"/>
      <c r="I71" s="331"/>
      <c r="J71" s="331"/>
      <c r="K71" s="411"/>
      <c r="L71" s="422"/>
      <c r="M71" s="424"/>
      <c r="N71" s="411"/>
      <c r="O71" s="331"/>
      <c r="P71" s="331"/>
      <c r="Q71" s="331"/>
      <c r="R71" s="331"/>
      <c r="S71" s="331"/>
      <c r="T71" s="331"/>
      <c r="U71" s="331"/>
    </row>
    <row r="72">
      <c r="A72" s="405">
        <v>46119.0</v>
      </c>
      <c r="B72" s="132" t="s">
        <v>1111</v>
      </c>
      <c r="C72" s="406" t="s">
        <v>576</v>
      </c>
      <c r="D72" s="407">
        <v>83000.0</v>
      </c>
      <c r="E72" s="406" t="s">
        <v>1112</v>
      </c>
      <c r="F72" s="96"/>
      <c r="G72" s="408">
        <f>D55+D56+D57+D58+D60+D61+D62+D64+D65+D66+D67+D68+D69+D70+D71+D72</f>
        <v>1654000</v>
      </c>
      <c r="H72" s="334" t="s">
        <v>773</v>
      </c>
      <c r="I72" s="331"/>
      <c r="J72" s="331"/>
      <c r="K72" s="411"/>
      <c r="L72" s="418"/>
      <c r="M72" s="420"/>
      <c r="N72" s="411"/>
      <c r="O72" s="331"/>
      <c r="P72" s="331"/>
      <c r="Q72" s="331"/>
      <c r="R72" s="331"/>
      <c r="S72" s="331"/>
      <c r="T72" s="331"/>
      <c r="U72" s="331"/>
    </row>
    <row r="73">
      <c r="A73" s="430">
        <v>46113.0</v>
      </c>
      <c r="B73" s="132" t="s">
        <v>1115</v>
      </c>
      <c r="C73" s="132" t="s">
        <v>622</v>
      </c>
      <c r="D73" s="407">
        <v>260000.0</v>
      </c>
      <c r="E73" s="406" t="s">
        <v>1118</v>
      </c>
      <c r="F73" s="389" t="s">
        <v>1055</v>
      </c>
      <c r="G73" s="334" t="s">
        <v>773</v>
      </c>
      <c r="H73" s="331"/>
      <c r="I73" s="331"/>
      <c r="J73" s="331"/>
      <c r="K73" s="411"/>
      <c r="L73" s="434"/>
      <c r="M73" s="435"/>
      <c r="N73" s="411"/>
      <c r="O73" s="331"/>
      <c r="P73" s="331"/>
      <c r="Q73" s="331"/>
      <c r="R73" s="331"/>
      <c r="S73" s="331"/>
      <c r="T73" s="331"/>
      <c r="U73" s="331"/>
    </row>
    <row r="74">
      <c r="A74" s="430">
        <v>46139.0</v>
      </c>
      <c r="B74" s="406" t="s">
        <v>1119</v>
      </c>
      <c r="C74" s="406" t="s">
        <v>1120</v>
      </c>
      <c r="D74" s="438">
        <v>525000.0</v>
      </c>
      <c r="E74" s="406" t="s">
        <v>1121</v>
      </c>
      <c r="F74" s="439">
        <v>46146.0</v>
      </c>
      <c r="G74" s="331"/>
      <c r="H74" s="331"/>
      <c r="I74" s="331"/>
      <c r="J74" s="331"/>
      <c r="K74" s="331"/>
      <c r="L74" s="331"/>
      <c r="M74" s="331"/>
      <c r="N74" s="332"/>
      <c r="O74" s="331"/>
      <c r="P74" s="331"/>
      <c r="Q74" s="331"/>
      <c r="R74" s="331"/>
      <c r="S74" s="331"/>
      <c r="T74" s="331"/>
      <c r="U74" s="331"/>
    </row>
    <row r="75">
      <c r="A75" s="430">
        <v>46136.0</v>
      </c>
      <c r="B75" s="132" t="s">
        <v>1124</v>
      </c>
      <c r="C75" s="132" t="s">
        <v>1125</v>
      </c>
      <c r="D75" s="438">
        <v>152000.0</v>
      </c>
      <c r="E75" s="132" t="s">
        <v>1126</v>
      </c>
      <c r="F75" s="71"/>
      <c r="G75" s="332"/>
      <c r="H75" s="332"/>
      <c r="I75" s="332"/>
      <c r="J75" s="332"/>
      <c r="K75" s="332"/>
      <c r="L75" s="332"/>
      <c r="M75" s="332"/>
      <c r="N75" s="332"/>
      <c r="O75" s="332"/>
      <c r="P75" s="332"/>
      <c r="Q75" s="332"/>
      <c r="R75" s="332"/>
      <c r="S75" s="332"/>
      <c r="T75" s="332"/>
      <c r="U75" s="332"/>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row>
    <row r="76">
      <c r="A76" s="430">
        <v>46136.0</v>
      </c>
      <c r="B76" s="132" t="s">
        <v>1130</v>
      </c>
      <c r="C76" s="132" t="s">
        <v>1131</v>
      </c>
      <c r="D76" s="438">
        <v>152000.0</v>
      </c>
      <c r="E76" s="132" t="s">
        <v>1132</v>
      </c>
      <c r="F76" s="71"/>
      <c r="G76" s="332"/>
      <c r="H76" s="332"/>
      <c r="I76" s="332"/>
      <c r="J76" s="332"/>
      <c r="K76" s="332"/>
      <c r="L76" s="332"/>
      <c r="M76" s="332"/>
      <c r="N76" s="332"/>
      <c r="O76" s="332"/>
      <c r="P76" s="332"/>
      <c r="Q76" s="332"/>
      <c r="R76" s="332"/>
      <c r="S76" s="332"/>
      <c r="T76" s="332"/>
      <c r="U76" s="332"/>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row>
    <row r="77">
      <c r="A77" s="430">
        <v>46138.0</v>
      </c>
      <c r="B77" s="132" t="s">
        <v>1133</v>
      </c>
      <c r="C77" s="132" t="s">
        <v>695</v>
      </c>
      <c r="D77" s="438">
        <v>188000.0</v>
      </c>
      <c r="E77" s="132" t="s">
        <v>1135</v>
      </c>
      <c r="F77" s="71"/>
      <c r="G77" s="332"/>
      <c r="H77" s="390">
        <v>11000.0</v>
      </c>
      <c r="I77" s="390" t="s">
        <v>278</v>
      </c>
      <c r="J77" s="332"/>
      <c r="K77" s="332"/>
      <c r="L77" s="332"/>
      <c r="M77" s="332"/>
      <c r="N77" s="332"/>
      <c r="O77" s="332"/>
      <c r="P77" s="332"/>
      <c r="Q77" s="332"/>
      <c r="R77" s="332"/>
      <c r="S77" s="332"/>
      <c r="T77" s="332"/>
      <c r="U77" s="332"/>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row>
    <row r="78">
      <c r="A78" s="430">
        <v>46134.0</v>
      </c>
      <c r="B78" s="406" t="s">
        <v>1140</v>
      </c>
      <c r="C78" s="406" t="s">
        <v>1141</v>
      </c>
      <c r="D78" s="442">
        <v>89000.0</v>
      </c>
      <c r="E78" s="406" t="s">
        <v>1142</v>
      </c>
      <c r="F78" s="96"/>
      <c r="G78" s="334">
        <v>1106000.0</v>
      </c>
      <c r="H78" s="334" t="s">
        <v>773</v>
      </c>
      <c r="I78" s="331">
        <f>H77+G67</f>
        <v>15000</v>
      </c>
      <c r="J78" s="331"/>
      <c r="K78" s="331"/>
      <c r="L78" s="331"/>
      <c r="M78" s="331"/>
      <c r="N78" s="332"/>
      <c r="O78" s="331"/>
      <c r="P78" s="331"/>
      <c r="Q78" s="331"/>
      <c r="R78" s="331"/>
      <c r="S78" s="331"/>
      <c r="T78" s="331"/>
      <c r="U78" s="331"/>
    </row>
    <row r="79">
      <c r="B79" s="444"/>
      <c r="C79" s="444"/>
      <c r="D79" s="445">
        <f>SUM(D55:D78)</f>
        <v>3573000</v>
      </c>
      <c r="E79" s="446"/>
      <c r="F79" s="446"/>
      <c r="G79" s="331"/>
      <c r="H79" s="331"/>
      <c r="I79" s="331"/>
      <c r="J79" s="331"/>
      <c r="K79" s="331"/>
      <c r="L79" s="331"/>
      <c r="M79" s="331"/>
      <c r="N79" s="332"/>
      <c r="O79" s="331"/>
      <c r="P79" s="331"/>
      <c r="Q79" s="331"/>
      <c r="R79" s="331"/>
      <c r="S79" s="331"/>
      <c r="T79" s="331"/>
      <c r="U79" s="331"/>
    </row>
    <row r="80">
      <c r="C80" s="444"/>
      <c r="D80" s="447"/>
      <c r="E80" s="446"/>
      <c r="F80" s="446"/>
      <c r="G80" s="331"/>
      <c r="H80" s="331"/>
      <c r="I80" s="331"/>
      <c r="J80" s="331"/>
      <c r="K80" s="331"/>
      <c r="L80" s="331"/>
      <c r="M80" s="331"/>
      <c r="N80" s="332"/>
      <c r="O80" s="331"/>
      <c r="P80" s="331"/>
      <c r="Q80" s="331"/>
      <c r="R80" s="331"/>
      <c r="S80" s="331"/>
      <c r="T80" s="331"/>
      <c r="U80" s="331"/>
    </row>
    <row r="81">
      <c r="B81" s="444"/>
      <c r="C81" s="444"/>
      <c r="D81" s="447"/>
      <c r="E81" s="446"/>
      <c r="F81" s="446"/>
      <c r="G81" s="331"/>
      <c r="H81" s="331"/>
      <c r="I81" s="331"/>
      <c r="J81" s="331"/>
      <c r="K81" s="331"/>
      <c r="L81" s="331"/>
      <c r="M81" s="331"/>
      <c r="N81" s="332"/>
      <c r="O81" s="331"/>
      <c r="P81" s="331"/>
      <c r="Q81" s="331"/>
      <c r="R81" s="331"/>
      <c r="S81" s="331"/>
      <c r="T81" s="331"/>
      <c r="U81" s="331"/>
    </row>
    <row r="82">
      <c r="B82" s="449" t="s">
        <v>671</v>
      </c>
      <c r="C82" s="450"/>
      <c r="D82" s="450"/>
      <c r="E82" s="450"/>
      <c r="F82" s="450"/>
      <c r="G82" s="450"/>
      <c r="H82" s="450"/>
      <c r="I82" s="450"/>
      <c r="J82" s="450"/>
      <c r="K82" s="450"/>
      <c r="L82" s="450"/>
      <c r="M82" s="450"/>
      <c r="N82" s="450"/>
      <c r="O82" s="450"/>
      <c r="P82" s="450"/>
      <c r="Q82" s="450"/>
      <c r="R82" s="450"/>
      <c r="S82" s="450"/>
      <c r="T82" s="450"/>
      <c r="U82" s="453"/>
    </row>
    <row r="83">
      <c r="A83" s="26" t="s">
        <v>10</v>
      </c>
      <c r="B83" s="454" t="s">
        <v>13</v>
      </c>
      <c r="C83" s="455" t="s">
        <v>11</v>
      </c>
      <c r="D83" s="456" t="s">
        <v>693</v>
      </c>
      <c r="E83" s="457" t="s">
        <v>15</v>
      </c>
      <c r="F83" s="454" t="s">
        <v>698</v>
      </c>
      <c r="G83" s="454" t="s">
        <v>911</v>
      </c>
      <c r="H83" s="454" t="s">
        <v>700</v>
      </c>
      <c r="I83" s="454" t="s">
        <v>701</v>
      </c>
      <c r="J83" s="454" t="s">
        <v>704</v>
      </c>
      <c r="K83" s="458" t="s">
        <v>706</v>
      </c>
      <c r="L83" s="454" t="s">
        <v>707</v>
      </c>
      <c r="M83" s="454" t="s">
        <v>709</v>
      </c>
      <c r="N83" s="454" t="s">
        <v>710</v>
      </c>
      <c r="O83" s="454" t="s">
        <v>711</v>
      </c>
      <c r="P83" s="454" t="s">
        <v>712</v>
      </c>
      <c r="Q83" s="454" t="s">
        <v>714</v>
      </c>
      <c r="R83" s="454" t="s">
        <v>717</v>
      </c>
      <c r="S83" s="454" t="s">
        <v>719</v>
      </c>
      <c r="T83" s="454" t="s">
        <v>721</v>
      </c>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row>
    <row r="84">
      <c r="A84" s="459">
        <v>46024.0</v>
      </c>
      <c r="B84" s="460" t="s">
        <v>1160</v>
      </c>
      <c r="C84" s="460" t="s">
        <v>1161</v>
      </c>
      <c r="D84" s="462">
        <v>165000.0</v>
      </c>
      <c r="E84" s="427" t="s">
        <v>77</v>
      </c>
      <c r="F84" s="464">
        <v>120000.0</v>
      </c>
      <c r="G84" s="427" t="s">
        <v>880</v>
      </c>
      <c r="H84" s="427" t="s">
        <v>880</v>
      </c>
      <c r="I84" s="427" t="s">
        <v>880</v>
      </c>
      <c r="J84" s="465">
        <f>D84</f>
        <v>165000</v>
      </c>
      <c r="K84" s="467" t="s">
        <v>1166</v>
      </c>
      <c r="L84" s="468" t="s">
        <v>1171</v>
      </c>
      <c r="M84" s="427" t="s">
        <v>773</v>
      </c>
      <c r="N84" s="427" t="s">
        <v>773</v>
      </c>
      <c r="O84" s="427" t="s">
        <v>1179</v>
      </c>
      <c r="P84" s="427" t="s">
        <v>773</v>
      </c>
      <c r="Q84" s="427" t="s">
        <v>773</v>
      </c>
      <c r="R84" s="427" t="s">
        <v>777</v>
      </c>
      <c r="S84" s="469"/>
      <c r="T84" s="470">
        <v>46034.0</v>
      </c>
      <c r="U84" s="471" t="s">
        <v>278</v>
      </c>
    </row>
    <row r="85">
      <c r="A85" s="459">
        <v>46026.0</v>
      </c>
      <c r="B85" s="427" t="s">
        <v>287</v>
      </c>
      <c r="C85" s="460" t="s">
        <v>1181</v>
      </c>
      <c r="D85" s="462">
        <v>187000.0</v>
      </c>
      <c r="E85" s="427" t="s">
        <v>77</v>
      </c>
      <c r="F85" s="427" t="s">
        <v>880</v>
      </c>
      <c r="G85" s="427" t="s">
        <v>880</v>
      </c>
      <c r="H85" s="462">
        <v>40000.0</v>
      </c>
      <c r="I85" s="427" t="s">
        <v>880</v>
      </c>
      <c r="J85" s="472">
        <f>D85+H85</f>
        <v>227000</v>
      </c>
      <c r="K85" s="427" t="s">
        <v>1185</v>
      </c>
      <c r="L85" s="474" t="s">
        <v>1186</v>
      </c>
      <c r="M85" s="475" t="s">
        <v>1185</v>
      </c>
      <c r="N85" s="475" t="s">
        <v>773</v>
      </c>
      <c r="O85" s="427" t="s">
        <v>1179</v>
      </c>
      <c r="P85" s="475" t="s">
        <v>773</v>
      </c>
      <c r="Q85" s="475" t="s">
        <v>773</v>
      </c>
      <c r="R85" s="475" t="s">
        <v>1194</v>
      </c>
      <c r="S85" s="476"/>
      <c r="T85" s="470">
        <v>46034.0</v>
      </c>
    </row>
    <row r="86">
      <c r="A86" s="459">
        <v>46038.0</v>
      </c>
      <c r="B86" s="427" t="s">
        <v>1196</v>
      </c>
      <c r="C86" s="460" t="s">
        <v>1197</v>
      </c>
      <c r="D86" s="462">
        <v>105000.0</v>
      </c>
      <c r="E86" s="427" t="s">
        <v>77</v>
      </c>
      <c r="F86" s="42">
        <v>54000.0</v>
      </c>
      <c r="G86" s="427" t="s">
        <v>880</v>
      </c>
      <c r="H86" s="475" t="s">
        <v>880</v>
      </c>
      <c r="I86" s="427" t="s">
        <v>880</v>
      </c>
      <c r="J86" s="472">
        <f t="shared" ref="J86:J93" si="1">D86</f>
        <v>105000</v>
      </c>
      <c r="K86" s="427" t="s">
        <v>880</v>
      </c>
      <c r="L86" s="474" t="s">
        <v>1200</v>
      </c>
      <c r="M86" s="427" t="s">
        <v>880</v>
      </c>
      <c r="N86" s="475" t="s">
        <v>773</v>
      </c>
      <c r="O86" s="475" t="s">
        <v>837</v>
      </c>
      <c r="P86" s="475" t="s">
        <v>773</v>
      </c>
      <c r="Q86" s="475" t="s">
        <v>773</v>
      </c>
      <c r="R86" s="427" t="s">
        <v>777</v>
      </c>
      <c r="S86" s="476"/>
      <c r="T86" s="470">
        <v>46049.0</v>
      </c>
    </row>
    <row r="87">
      <c r="A87" s="459">
        <v>46041.0</v>
      </c>
      <c r="B87" s="427" t="s">
        <v>494</v>
      </c>
      <c r="C87" s="460" t="s">
        <v>1208</v>
      </c>
      <c r="D87" s="462">
        <v>180000.0</v>
      </c>
      <c r="E87" s="427" t="s">
        <v>77</v>
      </c>
      <c r="F87" s="42">
        <v>96000.0</v>
      </c>
      <c r="G87" s="427" t="s">
        <v>880</v>
      </c>
      <c r="H87" s="427" t="s">
        <v>880</v>
      </c>
      <c r="I87" s="427" t="s">
        <v>880</v>
      </c>
      <c r="J87" s="472">
        <f t="shared" si="1"/>
        <v>180000</v>
      </c>
      <c r="K87" s="427" t="s">
        <v>880</v>
      </c>
      <c r="L87" s="468" t="s">
        <v>1209</v>
      </c>
      <c r="M87" s="427" t="s">
        <v>880</v>
      </c>
      <c r="N87" s="475" t="s">
        <v>773</v>
      </c>
      <c r="O87" s="475" t="s">
        <v>1179</v>
      </c>
      <c r="P87" s="475" t="s">
        <v>773</v>
      </c>
      <c r="Q87" s="475" t="s">
        <v>773</v>
      </c>
      <c r="R87" s="427" t="s">
        <v>777</v>
      </c>
      <c r="S87" s="476"/>
      <c r="T87" s="470">
        <v>46049.0</v>
      </c>
    </row>
    <row r="88">
      <c r="A88" s="459">
        <v>46045.0</v>
      </c>
      <c r="B88" s="427" t="s">
        <v>461</v>
      </c>
      <c r="C88" s="460" t="s">
        <v>1217</v>
      </c>
      <c r="D88" s="462">
        <v>180000.0</v>
      </c>
      <c r="E88" s="427" t="s">
        <v>77</v>
      </c>
      <c r="F88" s="42" t="s">
        <v>1218</v>
      </c>
      <c r="G88" s="427" t="s">
        <v>880</v>
      </c>
      <c r="H88" s="479">
        <v>3000.0</v>
      </c>
      <c r="I88" s="427" t="s">
        <v>880</v>
      </c>
      <c r="J88" s="472">
        <f t="shared" si="1"/>
        <v>180000</v>
      </c>
      <c r="K88" s="427" t="s">
        <v>880</v>
      </c>
      <c r="L88" s="468" t="s">
        <v>1219</v>
      </c>
      <c r="M88" s="427" t="s">
        <v>880</v>
      </c>
      <c r="N88" s="475" t="s">
        <v>773</v>
      </c>
      <c r="O88" s="475" t="s">
        <v>1179</v>
      </c>
      <c r="P88" s="475" t="s">
        <v>773</v>
      </c>
      <c r="Q88" s="475" t="s">
        <v>773</v>
      </c>
      <c r="R88" s="427" t="s">
        <v>777</v>
      </c>
      <c r="S88" s="476"/>
      <c r="T88" s="470">
        <v>46049.0</v>
      </c>
    </row>
    <row r="89">
      <c r="A89" s="481">
        <v>46058.0</v>
      </c>
      <c r="B89" s="482" t="s">
        <v>1225</v>
      </c>
      <c r="C89" s="196" t="s">
        <v>1226</v>
      </c>
      <c r="D89" s="483">
        <v>200000.0</v>
      </c>
      <c r="E89" s="482" t="s">
        <v>77</v>
      </c>
      <c r="F89" s="464">
        <v>138000.0</v>
      </c>
      <c r="G89" s="482" t="s">
        <v>880</v>
      </c>
      <c r="H89" s="482" t="s">
        <v>880</v>
      </c>
      <c r="I89" s="482" t="s">
        <v>880</v>
      </c>
      <c r="J89" s="465">
        <f t="shared" si="1"/>
        <v>200000</v>
      </c>
      <c r="K89" s="484" t="s">
        <v>1228</v>
      </c>
      <c r="L89" s="484" t="s">
        <v>1233</v>
      </c>
      <c r="M89" s="482" t="s">
        <v>880</v>
      </c>
      <c r="N89" s="482" t="s">
        <v>773</v>
      </c>
      <c r="O89" s="482" t="s">
        <v>1179</v>
      </c>
      <c r="P89" s="482" t="s">
        <v>773</v>
      </c>
      <c r="Q89" s="482" t="s">
        <v>773</v>
      </c>
      <c r="R89" s="482">
        <v>10.0</v>
      </c>
      <c r="S89" s="486"/>
      <c r="T89" s="481">
        <v>46065.0</v>
      </c>
      <c r="U89" s="471" t="s">
        <v>446</v>
      </c>
      <c r="V89" s="89"/>
      <c r="W89" s="89"/>
      <c r="X89" s="89"/>
      <c r="Y89" s="89"/>
      <c r="Z89" s="89"/>
      <c r="AA89" s="89"/>
      <c r="AB89" s="89"/>
      <c r="AC89" s="89"/>
      <c r="AD89" s="89"/>
      <c r="AE89" s="89"/>
      <c r="AF89" s="89"/>
      <c r="AG89" s="89"/>
      <c r="AH89" s="89"/>
      <c r="AI89" s="89"/>
      <c r="AJ89" s="89"/>
      <c r="AK89" s="89"/>
      <c r="AL89" s="89"/>
      <c r="AM89" s="89"/>
      <c r="AN89" s="89"/>
      <c r="AO89" s="89"/>
      <c r="AP89" s="89"/>
      <c r="AQ89" s="89"/>
      <c r="AR89" s="89"/>
      <c r="AS89" s="89"/>
      <c r="AT89" s="89"/>
      <c r="AU89" s="89"/>
      <c r="AV89" s="89"/>
      <c r="AW89" s="89"/>
      <c r="AX89" s="89"/>
    </row>
    <row r="90">
      <c r="A90" s="490">
        <v>46062.0</v>
      </c>
      <c r="B90" s="482" t="s">
        <v>810</v>
      </c>
      <c r="C90" s="196" t="s">
        <v>1242</v>
      </c>
      <c r="D90" s="483">
        <v>100000.0</v>
      </c>
      <c r="E90" s="482" t="s">
        <v>77</v>
      </c>
      <c r="F90" s="464">
        <v>24000.0</v>
      </c>
      <c r="G90" s="482" t="s">
        <v>880</v>
      </c>
      <c r="H90" s="482" t="s">
        <v>880</v>
      </c>
      <c r="I90" s="482" t="s">
        <v>880</v>
      </c>
      <c r="J90" s="472">
        <f t="shared" si="1"/>
        <v>100000</v>
      </c>
      <c r="K90" s="495" t="s">
        <v>1243</v>
      </c>
      <c r="L90" s="495" t="s">
        <v>1247</v>
      </c>
      <c r="M90" s="482" t="s">
        <v>880</v>
      </c>
      <c r="N90" s="482" t="s">
        <v>773</v>
      </c>
      <c r="O90" s="482" t="s">
        <v>1179</v>
      </c>
      <c r="P90" s="482" t="s">
        <v>773</v>
      </c>
      <c r="Q90" s="482" t="s">
        <v>773</v>
      </c>
      <c r="R90" s="486"/>
      <c r="S90" s="486"/>
      <c r="T90" s="481">
        <v>46069.0</v>
      </c>
    </row>
    <row r="91">
      <c r="A91" s="490">
        <v>46069.0</v>
      </c>
      <c r="B91" s="482" t="s">
        <v>377</v>
      </c>
      <c r="C91" s="196" t="s">
        <v>1252</v>
      </c>
      <c r="D91" s="483">
        <v>100000.0</v>
      </c>
      <c r="E91" s="482" t="s">
        <v>77</v>
      </c>
      <c r="F91" s="42">
        <v>54000.0</v>
      </c>
      <c r="G91" s="482" t="s">
        <v>880</v>
      </c>
      <c r="H91" s="482" t="s">
        <v>880</v>
      </c>
      <c r="I91" s="482" t="s">
        <v>880</v>
      </c>
      <c r="J91" s="472">
        <f t="shared" si="1"/>
        <v>100000</v>
      </c>
      <c r="K91" s="482" t="s">
        <v>880</v>
      </c>
      <c r="L91" s="495" t="s">
        <v>1253</v>
      </c>
      <c r="M91" s="501" t="s">
        <v>773</v>
      </c>
      <c r="N91" s="501" t="s">
        <v>773</v>
      </c>
      <c r="O91" s="501" t="s">
        <v>1179</v>
      </c>
      <c r="P91" s="501" t="s">
        <v>773</v>
      </c>
      <c r="Q91" s="501"/>
      <c r="R91" s="501">
        <v>10.0</v>
      </c>
      <c r="S91" s="502"/>
      <c r="T91" s="481">
        <v>46078.0</v>
      </c>
    </row>
    <row r="92">
      <c r="A92" s="490">
        <v>46070.0</v>
      </c>
      <c r="B92" s="482" t="s">
        <v>796</v>
      </c>
      <c r="C92" s="196" t="s">
        <v>1257</v>
      </c>
      <c r="D92" s="483">
        <v>165000.0</v>
      </c>
      <c r="E92" s="482" t="s">
        <v>77</v>
      </c>
      <c r="F92" s="42">
        <v>48000.0</v>
      </c>
      <c r="G92" s="482" t="s">
        <v>880</v>
      </c>
      <c r="H92" s="482" t="s">
        <v>880</v>
      </c>
      <c r="I92" s="482" t="s">
        <v>880</v>
      </c>
      <c r="J92" s="472">
        <f t="shared" si="1"/>
        <v>165000</v>
      </c>
      <c r="K92" s="482" t="s">
        <v>880</v>
      </c>
      <c r="L92" s="495" t="s">
        <v>1258</v>
      </c>
      <c r="M92" s="501" t="s">
        <v>773</v>
      </c>
      <c r="N92" s="501" t="s">
        <v>773</v>
      </c>
      <c r="O92" s="501" t="s">
        <v>1179</v>
      </c>
      <c r="P92" s="501" t="s">
        <v>773</v>
      </c>
      <c r="Q92" s="501" t="s">
        <v>1260</v>
      </c>
      <c r="R92" s="501">
        <v>10.0</v>
      </c>
      <c r="S92" s="502"/>
      <c r="T92" s="481">
        <v>46078.0</v>
      </c>
    </row>
    <row r="93">
      <c r="A93" s="490">
        <v>46074.0</v>
      </c>
      <c r="B93" s="482" t="s">
        <v>1261</v>
      </c>
      <c r="C93" s="196" t="s">
        <v>1262</v>
      </c>
      <c r="D93" s="483">
        <v>165000.0</v>
      </c>
      <c r="E93" s="482" t="s">
        <v>77</v>
      </c>
      <c r="F93" s="482" t="s">
        <v>880</v>
      </c>
      <c r="G93" s="482" t="s">
        <v>880</v>
      </c>
      <c r="H93" s="482" t="s">
        <v>880</v>
      </c>
      <c r="I93" s="482" t="s">
        <v>880</v>
      </c>
      <c r="J93" s="464">
        <f t="shared" si="1"/>
        <v>165000</v>
      </c>
      <c r="K93" s="482" t="s">
        <v>880</v>
      </c>
      <c r="L93" s="495" t="s">
        <v>1265</v>
      </c>
      <c r="M93" s="482" t="s">
        <v>880</v>
      </c>
      <c r="N93" s="501" t="s">
        <v>773</v>
      </c>
      <c r="O93" s="501" t="s">
        <v>1179</v>
      </c>
      <c r="P93" s="501" t="s">
        <v>773</v>
      </c>
      <c r="Q93" s="501" t="s">
        <v>1268</v>
      </c>
      <c r="R93" s="501">
        <v>10.0</v>
      </c>
      <c r="S93" s="502"/>
      <c r="T93" s="501">
        <v>2.8022026E7</v>
      </c>
    </row>
    <row r="94">
      <c r="A94" s="490">
        <v>46078.0</v>
      </c>
      <c r="B94" s="482" t="s">
        <v>1269</v>
      </c>
      <c r="C94" s="503" t="s">
        <v>1270</v>
      </c>
      <c r="D94" s="483">
        <v>185000.0</v>
      </c>
      <c r="E94" s="482" t="s">
        <v>77</v>
      </c>
      <c r="F94" s="464">
        <v>36000.0</v>
      </c>
      <c r="G94" s="502"/>
      <c r="H94" s="483">
        <v>36000.0</v>
      </c>
      <c r="I94" s="502"/>
      <c r="J94" s="464">
        <v>149000.0</v>
      </c>
      <c r="K94" s="482" t="s">
        <v>880</v>
      </c>
      <c r="L94" s="495" t="s">
        <v>1273</v>
      </c>
      <c r="M94" s="482" t="s">
        <v>880</v>
      </c>
      <c r="N94" s="502"/>
      <c r="O94" s="501" t="s">
        <v>1179</v>
      </c>
      <c r="P94" s="501" t="s">
        <v>773</v>
      </c>
      <c r="Q94" s="501" t="s">
        <v>1268</v>
      </c>
      <c r="R94" s="501">
        <v>10.0</v>
      </c>
      <c r="S94" s="502"/>
      <c r="T94" s="501">
        <v>2.8022026E7</v>
      </c>
    </row>
    <row r="95">
      <c r="A95" s="505">
        <v>46082.0</v>
      </c>
      <c r="B95" s="506" t="s">
        <v>1278</v>
      </c>
      <c r="C95" s="507" t="s">
        <v>1279</v>
      </c>
      <c r="D95" s="509">
        <v>155000.0</v>
      </c>
      <c r="E95" s="506" t="s">
        <v>77</v>
      </c>
      <c r="F95" s="506" t="s">
        <v>880</v>
      </c>
      <c r="G95" s="506" t="s">
        <v>880</v>
      </c>
      <c r="H95" s="509">
        <v>101000.0</v>
      </c>
      <c r="I95" s="506" t="s">
        <v>880</v>
      </c>
      <c r="J95" s="464">
        <v>256000.0</v>
      </c>
      <c r="K95" s="506" t="s">
        <v>880</v>
      </c>
      <c r="L95" s="511" t="s">
        <v>1283</v>
      </c>
      <c r="M95" s="506" t="s">
        <v>880</v>
      </c>
      <c r="N95" s="513" t="s">
        <v>1268</v>
      </c>
      <c r="O95" s="513" t="s">
        <v>1285</v>
      </c>
      <c r="P95" s="513" t="s">
        <v>773</v>
      </c>
      <c r="Q95" s="513" t="s">
        <v>1268</v>
      </c>
      <c r="R95" s="506" t="s">
        <v>1286</v>
      </c>
      <c r="S95" s="515"/>
      <c r="T95" s="513" t="s">
        <v>1290</v>
      </c>
      <c r="U95" s="471" t="s">
        <v>1291</v>
      </c>
    </row>
    <row r="96">
      <c r="A96" s="517">
        <v>46092.0</v>
      </c>
      <c r="B96" s="506" t="s">
        <v>1293</v>
      </c>
      <c r="C96" s="65" t="s">
        <v>1294</v>
      </c>
      <c r="D96" s="509">
        <v>215000.0</v>
      </c>
      <c r="E96" s="506" t="s">
        <v>1295</v>
      </c>
      <c r="F96" s="464">
        <v>222000.0</v>
      </c>
      <c r="G96" s="506" t="s">
        <v>880</v>
      </c>
      <c r="H96" s="506" t="s">
        <v>880</v>
      </c>
      <c r="I96" s="506" t="s">
        <v>880</v>
      </c>
      <c r="J96" s="464">
        <f>D96</f>
        <v>215000</v>
      </c>
      <c r="K96" s="506" t="s">
        <v>880</v>
      </c>
      <c r="L96" s="518" t="s">
        <v>1296</v>
      </c>
      <c r="M96" s="506" t="s">
        <v>880</v>
      </c>
      <c r="N96" s="506" t="s">
        <v>773</v>
      </c>
      <c r="O96" s="506" t="s">
        <v>1300</v>
      </c>
      <c r="P96" s="506" t="s">
        <v>773</v>
      </c>
      <c r="Q96" s="506" t="s">
        <v>1268</v>
      </c>
      <c r="R96" s="506" t="s">
        <v>1286</v>
      </c>
      <c r="S96" s="520"/>
      <c r="T96" s="521">
        <v>46105.0</v>
      </c>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row>
    <row r="97">
      <c r="A97" s="517">
        <v>46097.0</v>
      </c>
      <c r="B97" s="506" t="s">
        <v>1013</v>
      </c>
      <c r="C97" s="65" t="s">
        <v>1304</v>
      </c>
      <c r="D97" s="509">
        <v>187000.0</v>
      </c>
      <c r="E97" s="506" t="s">
        <v>1295</v>
      </c>
      <c r="F97" s="464">
        <v>94000.0</v>
      </c>
      <c r="G97" s="506" t="s">
        <v>880</v>
      </c>
      <c r="H97" s="509">
        <v>500.0</v>
      </c>
      <c r="I97" s="506" t="s">
        <v>880</v>
      </c>
      <c r="J97" s="523">
        <f>D97+H97</f>
        <v>187500</v>
      </c>
      <c r="K97" s="506" t="s">
        <v>880</v>
      </c>
      <c r="L97" s="518" t="s">
        <v>1305</v>
      </c>
      <c r="M97" s="506" t="s">
        <v>880</v>
      </c>
      <c r="N97" s="506" t="s">
        <v>773</v>
      </c>
      <c r="O97" s="506" t="s">
        <v>1300</v>
      </c>
      <c r="P97" s="506" t="s">
        <v>773</v>
      </c>
      <c r="Q97" s="506" t="s">
        <v>1268</v>
      </c>
      <c r="R97" s="506" t="s">
        <v>1286</v>
      </c>
      <c r="S97" s="507" t="s">
        <v>1309</v>
      </c>
      <c r="T97" s="521">
        <v>46105.0</v>
      </c>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row>
    <row r="98">
      <c r="A98" s="528">
        <v>46105.0</v>
      </c>
      <c r="B98" s="506" t="s">
        <v>1311</v>
      </c>
      <c r="C98" s="65" t="s">
        <v>1312</v>
      </c>
      <c r="D98" s="509">
        <v>202000.0</v>
      </c>
      <c r="E98" s="506" t="s">
        <v>77</v>
      </c>
      <c r="F98" s="464">
        <v>96000.0</v>
      </c>
      <c r="G98" s="506" t="s">
        <v>880</v>
      </c>
      <c r="H98" s="506" t="s">
        <v>880</v>
      </c>
      <c r="I98" s="506" t="s">
        <v>880</v>
      </c>
      <c r="J98" s="464">
        <f t="shared" ref="J98:J99" si="2">D98</f>
        <v>202000</v>
      </c>
      <c r="K98" s="506" t="s">
        <v>880</v>
      </c>
      <c r="L98" s="533" t="s">
        <v>1314</v>
      </c>
      <c r="M98" s="506" t="s">
        <v>880</v>
      </c>
      <c r="N98" s="513" t="s">
        <v>773</v>
      </c>
      <c r="O98" s="513" t="s">
        <v>1179</v>
      </c>
      <c r="P98" s="513" t="s">
        <v>773</v>
      </c>
      <c r="Q98" s="513" t="s">
        <v>1268</v>
      </c>
      <c r="R98" s="506" t="s">
        <v>1286</v>
      </c>
      <c r="S98" s="534"/>
      <c r="T98" s="521">
        <v>46110.0</v>
      </c>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row>
    <row r="99">
      <c r="A99" s="536">
        <v>46109.0</v>
      </c>
      <c r="B99" s="506" t="s">
        <v>1321</v>
      </c>
      <c r="C99" s="65" t="s">
        <v>1322</v>
      </c>
      <c r="D99" s="509">
        <v>180000.0</v>
      </c>
      <c r="E99" s="506" t="s">
        <v>77</v>
      </c>
      <c r="F99" s="464">
        <v>96000.0</v>
      </c>
      <c r="G99" s="506" t="s">
        <v>880</v>
      </c>
      <c r="H99" s="506" t="s">
        <v>880</v>
      </c>
      <c r="I99" s="506" t="s">
        <v>880</v>
      </c>
      <c r="J99" s="472">
        <f t="shared" si="2"/>
        <v>180000</v>
      </c>
      <c r="K99" s="506" t="s">
        <v>880</v>
      </c>
      <c r="L99" s="533" t="s">
        <v>1324</v>
      </c>
      <c r="M99" s="506" t="s">
        <v>880</v>
      </c>
      <c r="N99" s="513" t="s">
        <v>773</v>
      </c>
      <c r="O99" s="506" t="s">
        <v>1179</v>
      </c>
      <c r="P99" s="513" t="s">
        <v>773</v>
      </c>
      <c r="Q99" s="506" t="s">
        <v>1286</v>
      </c>
      <c r="R99" s="506">
        <v>10.0</v>
      </c>
      <c r="S99" s="534"/>
      <c r="T99" s="538">
        <v>46112.0</v>
      </c>
    </row>
    <row r="100">
      <c r="A100" s="517">
        <v>46111.0</v>
      </c>
      <c r="B100" s="506" t="s">
        <v>1329</v>
      </c>
      <c r="C100" s="65" t="s">
        <v>1330</v>
      </c>
      <c r="D100" s="509">
        <v>202000.0</v>
      </c>
      <c r="E100" s="506" t="s">
        <v>77</v>
      </c>
      <c r="F100" s="464">
        <v>138000.0</v>
      </c>
      <c r="G100" s="509">
        <v>42000.0</v>
      </c>
      <c r="H100" s="506" t="s">
        <v>880</v>
      </c>
      <c r="I100" s="506" t="s">
        <v>880</v>
      </c>
      <c r="J100" s="465">
        <f>D100-G100</f>
        <v>160000</v>
      </c>
      <c r="K100" s="506" t="s">
        <v>880</v>
      </c>
      <c r="L100" s="540" t="s">
        <v>1333</v>
      </c>
      <c r="M100" s="506" t="s">
        <v>880</v>
      </c>
      <c r="N100" s="506" t="s">
        <v>773</v>
      </c>
      <c r="O100" s="506" t="s">
        <v>1179</v>
      </c>
      <c r="P100" s="506" t="s">
        <v>773</v>
      </c>
      <c r="Q100" s="506" t="s">
        <v>1286</v>
      </c>
      <c r="R100" s="506" t="s">
        <v>1286</v>
      </c>
      <c r="S100" s="541" t="s">
        <v>1339</v>
      </c>
      <c r="T100" s="96"/>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row>
    <row r="101">
      <c r="A101" s="33">
        <v>46113.0</v>
      </c>
      <c r="B101" s="35" t="s">
        <v>1343</v>
      </c>
      <c r="C101" s="35" t="s">
        <v>1345</v>
      </c>
      <c r="D101" s="107">
        <v>185000.0</v>
      </c>
      <c r="E101" s="35" t="s">
        <v>77</v>
      </c>
      <c r="F101" s="464">
        <v>150000.0</v>
      </c>
      <c r="G101" s="35" t="s">
        <v>880</v>
      </c>
      <c r="H101" s="35" t="s">
        <v>880</v>
      </c>
      <c r="I101" s="35" t="s">
        <v>880</v>
      </c>
      <c r="J101" s="464">
        <v>185000.0</v>
      </c>
      <c r="K101" s="102"/>
      <c r="L101" s="337" t="s">
        <v>1347</v>
      </c>
      <c r="M101" s="35" t="s">
        <v>880</v>
      </c>
      <c r="N101" s="35" t="s">
        <v>773</v>
      </c>
      <c r="O101" s="35" t="s">
        <v>1179</v>
      </c>
      <c r="P101" s="35" t="s">
        <v>773</v>
      </c>
      <c r="Q101" s="35" t="s">
        <v>1286</v>
      </c>
      <c r="R101" s="35" t="s">
        <v>1286</v>
      </c>
      <c r="S101" s="132" t="s">
        <v>1354</v>
      </c>
      <c r="T101" s="99">
        <v>46146.0</v>
      </c>
      <c r="U101" s="304" t="s">
        <v>1355</v>
      </c>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row>
    <row r="102">
      <c r="A102" s="33">
        <v>46120.0</v>
      </c>
      <c r="B102" s="545" t="s">
        <v>1106</v>
      </c>
      <c r="C102" s="545" t="s">
        <v>1360</v>
      </c>
      <c r="D102" s="107">
        <v>100000.0</v>
      </c>
      <c r="E102" s="35" t="s">
        <v>77</v>
      </c>
      <c r="F102" s="464">
        <v>24000.0</v>
      </c>
      <c r="G102" s="35" t="s">
        <v>880</v>
      </c>
      <c r="H102" s="35" t="s">
        <v>880</v>
      </c>
      <c r="I102" s="35" t="s">
        <v>880</v>
      </c>
      <c r="J102" s="464">
        <v>100000.0</v>
      </c>
      <c r="K102" s="337" t="s">
        <v>1362</v>
      </c>
      <c r="L102" s="337" t="s">
        <v>1367</v>
      </c>
      <c r="M102" s="35" t="s">
        <v>880</v>
      </c>
      <c r="N102" s="35" t="s">
        <v>773</v>
      </c>
      <c r="O102" s="35" t="s">
        <v>1179</v>
      </c>
      <c r="P102" s="35" t="s">
        <v>773</v>
      </c>
      <c r="Q102" s="35" t="s">
        <v>1286</v>
      </c>
      <c r="R102" s="35" t="s">
        <v>1286</v>
      </c>
      <c r="S102" s="388"/>
      <c r="T102" s="99">
        <v>46132.0</v>
      </c>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c r="AV102" s="51"/>
      <c r="AW102" s="51"/>
      <c r="AX102" s="51"/>
    </row>
    <row r="103">
      <c r="A103" s="33">
        <v>46138.0</v>
      </c>
      <c r="B103" s="35" t="s">
        <v>1373</v>
      </c>
      <c r="C103" s="35" t="s">
        <v>1374</v>
      </c>
      <c r="D103" s="549">
        <v>180000.0</v>
      </c>
      <c r="E103" s="35" t="s">
        <v>77</v>
      </c>
      <c r="F103" s="42">
        <v>240000.0</v>
      </c>
      <c r="G103" s="35" t="s">
        <v>880</v>
      </c>
      <c r="H103" s="35" t="s">
        <v>880</v>
      </c>
      <c r="I103" s="35" t="s">
        <v>880</v>
      </c>
      <c r="J103" s="550">
        <f>D103</f>
        <v>180000</v>
      </c>
      <c r="K103" s="329" t="s">
        <v>1377</v>
      </c>
      <c r="L103" s="329" t="s">
        <v>1382</v>
      </c>
      <c r="M103" s="35" t="s">
        <v>880</v>
      </c>
      <c r="N103" s="35" t="s">
        <v>773</v>
      </c>
      <c r="O103" s="35" t="s">
        <v>776</v>
      </c>
      <c r="P103" s="35" t="s">
        <v>773</v>
      </c>
      <c r="Q103" s="35" t="s">
        <v>1286</v>
      </c>
      <c r="R103" s="35">
        <v>10.0</v>
      </c>
      <c r="S103" s="93"/>
      <c r="T103" s="99">
        <v>46146.0</v>
      </c>
      <c r="V103" s="147"/>
      <c r="W103" s="147"/>
      <c r="X103" s="147"/>
      <c r="Y103" s="147"/>
      <c r="Z103" s="147"/>
      <c r="AA103" s="147"/>
      <c r="AB103" s="147"/>
      <c r="AC103" s="147"/>
      <c r="AD103" s="147"/>
      <c r="AE103" s="147"/>
      <c r="AF103" s="147"/>
      <c r="AG103" s="147"/>
      <c r="AH103" s="147"/>
      <c r="AI103" s="147"/>
      <c r="AJ103" s="147"/>
      <c r="AK103" s="147"/>
      <c r="AL103" s="147"/>
      <c r="AM103" s="147"/>
      <c r="AN103" s="147"/>
      <c r="AO103" s="147"/>
      <c r="AP103" s="147"/>
      <c r="AQ103" s="147"/>
      <c r="AR103" s="147"/>
      <c r="AS103" s="147"/>
      <c r="AT103" s="147"/>
      <c r="AU103" s="147"/>
      <c r="AV103" s="147"/>
      <c r="AW103" s="147"/>
      <c r="AX103" s="147"/>
    </row>
    <row r="104">
      <c r="B104" s="31"/>
      <c r="C104" s="31"/>
      <c r="D104" s="31"/>
      <c r="E104" s="31"/>
      <c r="F104" s="31"/>
      <c r="N104" s="7"/>
      <c r="Q104" s="35"/>
    </row>
    <row r="105">
      <c r="B105" s="31"/>
      <c r="C105" s="31"/>
      <c r="D105" s="31"/>
      <c r="E105" s="31"/>
      <c r="F105" s="31"/>
      <c r="J105" s="556"/>
      <c r="N105" s="7"/>
    </row>
    <row r="106">
      <c r="B106" s="31"/>
      <c r="C106" s="558" t="s">
        <v>1394</v>
      </c>
      <c r="D106" s="559"/>
      <c r="E106" s="560"/>
      <c r="F106" s="560"/>
      <c r="G106" s="559"/>
      <c r="N106" s="7"/>
    </row>
    <row r="107">
      <c r="B107" s="31"/>
      <c r="C107" s="24" t="s">
        <v>1399</v>
      </c>
      <c r="D107" s="31"/>
      <c r="E107" s="31"/>
      <c r="F107" s="31"/>
      <c r="L107" s="7"/>
      <c r="M107" s="221"/>
      <c r="N107" s="221"/>
    </row>
    <row r="108">
      <c r="B108" s="31"/>
      <c r="C108" s="561" t="s">
        <v>1402</v>
      </c>
      <c r="D108" s="562"/>
      <c r="E108" s="562"/>
      <c r="F108" s="562"/>
      <c r="L108" s="7"/>
      <c r="M108" s="221"/>
      <c r="N108" s="221"/>
    </row>
    <row r="109">
      <c r="B109" s="31"/>
      <c r="C109" s="31"/>
      <c r="D109" s="31"/>
      <c r="E109" s="31"/>
      <c r="F109" s="31"/>
      <c r="L109" s="7"/>
      <c r="M109" s="221"/>
      <c r="N109" s="221"/>
    </row>
    <row r="110">
      <c r="B110" s="31"/>
      <c r="C110" s="31"/>
      <c r="D110" s="31"/>
      <c r="E110" s="31"/>
      <c r="F110" s="31"/>
      <c r="N110" s="221"/>
    </row>
    <row r="111">
      <c r="B111" s="31"/>
      <c r="C111" s="31"/>
      <c r="D111" s="31"/>
      <c r="E111" s="31"/>
      <c r="F111" s="31"/>
      <c r="N111" s="7"/>
    </row>
    <row r="112">
      <c r="B112" s="565" t="s">
        <v>988</v>
      </c>
      <c r="C112" s="566"/>
      <c r="D112" s="566"/>
      <c r="E112" s="566"/>
      <c r="F112" s="566"/>
      <c r="G112" s="566"/>
      <c r="H112" s="566"/>
      <c r="I112" s="566"/>
      <c r="J112" s="566"/>
      <c r="K112" s="566"/>
      <c r="L112" s="566"/>
      <c r="M112" s="566"/>
      <c r="N112" s="566"/>
      <c r="O112" s="566"/>
      <c r="P112" s="566"/>
      <c r="Q112" s="566"/>
      <c r="R112" s="566"/>
      <c r="S112" s="566"/>
      <c r="T112" s="566"/>
      <c r="U112" s="567"/>
    </row>
    <row r="113">
      <c r="A113" s="26" t="s">
        <v>10</v>
      </c>
      <c r="B113" s="414" t="s">
        <v>13</v>
      </c>
      <c r="C113" s="414" t="s">
        <v>11</v>
      </c>
      <c r="D113" s="417" t="s">
        <v>693</v>
      </c>
      <c r="E113" s="419" t="s">
        <v>15</v>
      </c>
      <c r="F113" s="414" t="s">
        <v>698</v>
      </c>
      <c r="G113" s="414" t="s">
        <v>911</v>
      </c>
      <c r="H113" s="414" t="s">
        <v>700</v>
      </c>
      <c r="I113" s="414" t="s">
        <v>701</v>
      </c>
      <c r="J113" s="414" t="s">
        <v>704</v>
      </c>
      <c r="K113" s="414" t="s">
        <v>706</v>
      </c>
      <c r="L113" s="414" t="s">
        <v>707</v>
      </c>
      <c r="M113" s="414" t="s">
        <v>709</v>
      </c>
      <c r="N113" s="414" t="s">
        <v>710</v>
      </c>
      <c r="O113" s="414" t="s">
        <v>711</v>
      </c>
      <c r="P113" s="414" t="s">
        <v>712</v>
      </c>
      <c r="Q113" s="414" t="s">
        <v>714</v>
      </c>
      <c r="R113" s="414" t="s">
        <v>717</v>
      </c>
      <c r="S113" s="414" t="s">
        <v>719</v>
      </c>
      <c r="T113" s="414" t="s">
        <v>721</v>
      </c>
    </row>
    <row r="114">
      <c r="A114" s="568">
        <v>46028.0</v>
      </c>
      <c r="B114" s="460" t="s">
        <v>1414</v>
      </c>
      <c r="C114" s="427" t="s">
        <v>1415</v>
      </c>
      <c r="D114" s="462">
        <v>199000.0</v>
      </c>
      <c r="E114" s="427" t="s">
        <v>77</v>
      </c>
      <c r="F114" s="427" t="s">
        <v>880</v>
      </c>
      <c r="G114" s="427" t="s">
        <v>880</v>
      </c>
      <c r="H114" s="427" t="s">
        <v>880</v>
      </c>
      <c r="I114" s="427" t="s">
        <v>880</v>
      </c>
      <c r="J114" s="472">
        <f t="shared" ref="J114:J116" si="3">D114</f>
        <v>199000</v>
      </c>
      <c r="K114" s="474" t="s">
        <v>1418</v>
      </c>
      <c r="L114" s="474" t="s">
        <v>291</v>
      </c>
      <c r="M114" s="475" t="s">
        <v>773</v>
      </c>
      <c r="N114" s="475" t="s">
        <v>773</v>
      </c>
      <c r="O114" s="475" t="s">
        <v>837</v>
      </c>
      <c r="P114" s="475" t="s">
        <v>773</v>
      </c>
      <c r="Q114" s="475" t="s">
        <v>773</v>
      </c>
      <c r="R114" s="476"/>
      <c r="S114" s="476"/>
      <c r="T114" s="470">
        <v>46034.0</v>
      </c>
      <c r="U114" s="570" t="s">
        <v>1429</v>
      </c>
    </row>
    <row r="115">
      <c r="A115" s="568">
        <v>46033.0</v>
      </c>
      <c r="B115" s="427" t="s">
        <v>457</v>
      </c>
      <c r="C115" s="427" t="s">
        <v>1430</v>
      </c>
      <c r="D115" s="462">
        <v>175000.0</v>
      </c>
      <c r="E115" s="427" t="s">
        <v>77</v>
      </c>
      <c r="F115" s="427" t="s">
        <v>880</v>
      </c>
      <c r="G115" s="427" t="s">
        <v>880</v>
      </c>
      <c r="H115" s="427" t="s">
        <v>880</v>
      </c>
      <c r="I115" s="427" t="s">
        <v>880</v>
      </c>
      <c r="J115" s="472">
        <f t="shared" si="3"/>
        <v>175000</v>
      </c>
      <c r="K115" s="427" t="s">
        <v>880</v>
      </c>
      <c r="L115" s="474" t="s">
        <v>296</v>
      </c>
      <c r="M115" s="475" t="s">
        <v>880</v>
      </c>
      <c r="N115" s="475" t="s">
        <v>773</v>
      </c>
      <c r="O115" s="475" t="s">
        <v>1285</v>
      </c>
      <c r="P115" s="475" t="s">
        <v>773</v>
      </c>
      <c r="Q115" s="475" t="s">
        <v>773</v>
      </c>
      <c r="R115" s="476"/>
      <c r="S115" s="476"/>
      <c r="T115" s="470">
        <v>46040.0</v>
      </c>
      <c r="U115" s="96"/>
    </row>
    <row r="116">
      <c r="A116" s="571" t="s">
        <v>1437</v>
      </c>
      <c r="B116" s="571" t="s">
        <v>1439</v>
      </c>
      <c r="C116" s="571" t="s">
        <v>1440</v>
      </c>
      <c r="D116" s="572">
        <v>185000.0</v>
      </c>
      <c r="E116" s="571" t="s">
        <v>77</v>
      </c>
      <c r="F116" s="571" t="s">
        <v>880</v>
      </c>
      <c r="G116" s="571" t="s">
        <v>880</v>
      </c>
      <c r="H116" s="571" t="s">
        <v>880</v>
      </c>
      <c r="I116" s="571" t="s">
        <v>880</v>
      </c>
      <c r="J116" s="465">
        <f t="shared" si="3"/>
        <v>185000</v>
      </c>
      <c r="K116" s="571" t="s">
        <v>880</v>
      </c>
      <c r="L116" s="573" t="s">
        <v>1442</v>
      </c>
      <c r="M116" s="574" t="s">
        <v>880</v>
      </c>
      <c r="N116" s="571" t="s">
        <v>773</v>
      </c>
      <c r="O116" s="571" t="s">
        <v>1179</v>
      </c>
      <c r="P116" s="571" t="s">
        <v>773</v>
      </c>
      <c r="Q116" s="571" t="s">
        <v>773</v>
      </c>
      <c r="R116" s="571" t="s">
        <v>1286</v>
      </c>
      <c r="S116" s="575"/>
      <c r="T116" s="576">
        <v>46098.0</v>
      </c>
      <c r="U116" s="570" t="s">
        <v>1291</v>
      </c>
      <c r="V116" s="89"/>
      <c r="W116" s="89"/>
      <c r="X116" s="89"/>
      <c r="Y116" s="89"/>
      <c r="Z116" s="89"/>
      <c r="AA116" s="89"/>
      <c r="AB116" s="89"/>
      <c r="AC116" s="89"/>
      <c r="AD116" s="89"/>
      <c r="AE116" s="89"/>
      <c r="AF116" s="89"/>
      <c r="AG116" s="89"/>
      <c r="AH116" s="89"/>
      <c r="AI116" s="89"/>
      <c r="AJ116" s="89"/>
      <c r="AK116" s="89"/>
      <c r="AL116" s="89"/>
      <c r="AM116" s="89"/>
      <c r="AN116" s="89"/>
      <c r="AO116" s="89"/>
      <c r="AP116" s="89"/>
      <c r="AQ116" s="89"/>
      <c r="AR116" s="89"/>
      <c r="AS116" s="89"/>
      <c r="AT116" s="89"/>
      <c r="AU116" s="89"/>
      <c r="AV116" s="89"/>
      <c r="AW116" s="89"/>
      <c r="AX116" s="89"/>
    </row>
    <row r="117">
      <c r="A117" s="576">
        <v>46112.0</v>
      </c>
      <c r="B117" s="578" t="s">
        <v>1070</v>
      </c>
      <c r="C117" s="578" t="s">
        <v>1450</v>
      </c>
      <c r="D117" s="572">
        <v>213000.0</v>
      </c>
      <c r="E117" s="571" t="s">
        <v>77</v>
      </c>
      <c r="F117" s="465">
        <v>150000.0</v>
      </c>
      <c r="G117" s="571" t="s">
        <v>880</v>
      </c>
      <c r="H117" s="571" t="s">
        <v>880</v>
      </c>
      <c r="I117" s="578" t="s">
        <v>1453</v>
      </c>
      <c r="J117" s="465">
        <v>213000.0</v>
      </c>
      <c r="K117" s="571" t="s">
        <v>880</v>
      </c>
      <c r="L117" s="579" t="s">
        <v>1454</v>
      </c>
      <c r="M117" s="571" t="s">
        <v>880</v>
      </c>
      <c r="N117" s="571" t="s">
        <v>773</v>
      </c>
      <c r="O117" s="571" t="s">
        <v>837</v>
      </c>
      <c r="P117" s="571" t="s">
        <v>773</v>
      </c>
      <c r="Q117" s="571" t="s">
        <v>773</v>
      </c>
      <c r="R117" s="571" t="s">
        <v>1286</v>
      </c>
      <c r="S117" s="580" t="s">
        <v>1460</v>
      </c>
      <c r="T117" s="82">
        <v>46119.0</v>
      </c>
      <c r="U117" s="96"/>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c r="AV117" s="51"/>
      <c r="AW117" s="51"/>
      <c r="AX117" s="51"/>
    </row>
    <row r="118">
      <c r="A118" s="250">
        <v>46113.0</v>
      </c>
      <c r="B118" s="102" t="s">
        <v>622</v>
      </c>
      <c r="C118" s="35" t="s">
        <v>1462</v>
      </c>
      <c r="D118" s="581">
        <v>185000.0</v>
      </c>
      <c r="E118" s="35" t="s">
        <v>77</v>
      </c>
      <c r="F118" s="35" t="s">
        <v>880</v>
      </c>
      <c r="G118" s="35" t="s">
        <v>880</v>
      </c>
      <c r="H118" s="35" t="s">
        <v>880</v>
      </c>
      <c r="I118" s="35" t="s">
        <v>880</v>
      </c>
      <c r="J118" s="465">
        <v>185000.0</v>
      </c>
      <c r="K118" s="35" t="s">
        <v>880</v>
      </c>
      <c r="L118" s="337" t="s">
        <v>1463</v>
      </c>
      <c r="M118" s="165" t="s">
        <v>880</v>
      </c>
      <c r="N118" s="35" t="s">
        <v>773</v>
      </c>
      <c r="O118" s="35" t="s">
        <v>1179</v>
      </c>
      <c r="P118" s="35" t="s">
        <v>773</v>
      </c>
      <c r="Q118" s="35" t="s">
        <v>773</v>
      </c>
      <c r="R118" s="35" t="s">
        <v>1286</v>
      </c>
      <c r="S118" s="70"/>
      <c r="T118" s="71"/>
      <c r="U118" s="570" t="s">
        <v>1355</v>
      </c>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row>
    <row r="119">
      <c r="A119" s="250">
        <v>46114.0</v>
      </c>
      <c r="B119" s="102" t="s">
        <v>649</v>
      </c>
      <c r="C119" s="35" t="s">
        <v>1469</v>
      </c>
      <c r="D119" s="581">
        <v>185000.0</v>
      </c>
      <c r="E119" s="35" t="s">
        <v>77</v>
      </c>
      <c r="F119" s="35" t="s">
        <v>880</v>
      </c>
      <c r="G119" s="35" t="s">
        <v>880</v>
      </c>
      <c r="H119" s="35" t="s">
        <v>880</v>
      </c>
      <c r="I119" s="35" t="s">
        <v>880</v>
      </c>
      <c r="J119" s="465">
        <v>185000.0</v>
      </c>
      <c r="K119" s="35" t="s">
        <v>880</v>
      </c>
      <c r="L119" s="337" t="s">
        <v>1471</v>
      </c>
      <c r="M119" s="165" t="s">
        <v>880</v>
      </c>
      <c r="N119" s="35" t="s">
        <v>773</v>
      </c>
      <c r="O119" s="35" t="s">
        <v>1179</v>
      </c>
      <c r="P119" s="35" t="s">
        <v>773</v>
      </c>
      <c r="Q119" s="35" t="s">
        <v>773</v>
      </c>
      <c r="R119" s="35" t="s">
        <v>1286</v>
      </c>
      <c r="S119" s="70"/>
      <c r="T119" s="96"/>
      <c r="U119" s="71"/>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row>
    <row r="120">
      <c r="A120" s="250">
        <v>46119.0</v>
      </c>
      <c r="B120" s="582" t="s">
        <v>576</v>
      </c>
      <c r="C120" s="35" t="s">
        <v>1474</v>
      </c>
      <c r="D120" s="581">
        <v>175000.0</v>
      </c>
      <c r="E120" s="35" t="s">
        <v>77</v>
      </c>
      <c r="F120" s="35" t="s">
        <v>880</v>
      </c>
      <c r="G120" s="35" t="s">
        <v>880</v>
      </c>
      <c r="H120" s="35" t="s">
        <v>880</v>
      </c>
      <c r="I120" s="35" t="s">
        <v>880</v>
      </c>
      <c r="J120" s="465">
        <v>175000.0</v>
      </c>
      <c r="K120" s="35" t="s">
        <v>880</v>
      </c>
      <c r="L120" s="346" t="s">
        <v>1475</v>
      </c>
      <c r="M120" s="165" t="s">
        <v>880</v>
      </c>
      <c r="N120" s="35" t="s">
        <v>773</v>
      </c>
      <c r="O120" s="35" t="s">
        <v>1179</v>
      </c>
      <c r="P120" s="35" t="s">
        <v>773</v>
      </c>
      <c r="Q120" s="35" t="s">
        <v>1286</v>
      </c>
      <c r="R120" s="35" t="s">
        <v>1286</v>
      </c>
      <c r="S120" s="70"/>
      <c r="T120" s="33">
        <v>46132.0</v>
      </c>
      <c r="U120" s="71"/>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row>
    <row r="121">
      <c r="A121" s="109">
        <v>46136.0</v>
      </c>
      <c r="B121" s="110" t="s">
        <v>1125</v>
      </c>
      <c r="C121" s="110" t="s">
        <v>1478</v>
      </c>
      <c r="D121" s="244">
        <v>300000.0</v>
      </c>
      <c r="E121" s="35" t="s">
        <v>77</v>
      </c>
      <c r="F121" s="42">
        <v>210000.0</v>
      </c>
      <c r="G121" s="35" t="s">
        <v>880</v>
      </c>
      <c r="H121" s="35" t="s">
        <v>880</v>
      </c>
      <c r="I121" s="35" t="s">
        <v>880</v>
      </c>
      <c r="J121" s="355">
        <f t="shared" ref="J121:J122" si="4">D121</f>
        <v>300000</v>
      </c>
      <c r="K121" s="35" t="s">
        <v>880</v>
      </c>
      <c r="L121" s="415" t="s">
        <v>1480</v>
      </c>
      <c r="M121" s="165" t="s">
        <v>880</v>
      </c>
      <c r="N121" s="35" t="s">
        <v>773</v>
      </c>
      <c r="O121" s="35" t="s">
        <v>1179</v>
      </c>
      <c r="P121" s="35" t="s">
        <v>773</v>
      </c>
      <c r="Q121" s="35" t="s">
        <v>773</v>
      </c>
      <c r="R121" s="35" t="s">
        <v>1286</v>
      </c>
      <c r="S121" s="186"/>
      <c r="T121" s="48">
        <v>46142.0</v>
      </c>
      <c r="U121" s="71"/>
    </row>
    <row r="122">
      <c r="A122" s="109">
        <v>46137.0</v>
      </c>
      <c r="B122" s="110" t="s">
        <v>600</v>
      </c>
      <c r="C122" s="110" t="s">
        <v>1482</v>
      </c>
      <c r="D122" s="244">
        <v>175000.0</v>
      </c>
      <c r="E122" s="35" t="s">
        <v>77</v>
      </c>
      <c r="F122" s="35" t="s">
        <v>880</v>
      </c>
      <c r="G122" s="35" t="s">
        <v>880</v>
      </c>
      <c r="H122" s="35" t="s">
        <v>880</v>
      </c>
      <c r="I122" s="35" t="s">
        <v>880</v>
      </c>
      <c r="J122" s="465">
        <f t="shared" si="4"/>
        <v>175000</v>
      </c>
      <c r="K122" s="35" t="s">
        <v>880</v>
      </c>
      <c r="L122" s="387" t="s">
        <v>1483</v>
      </c>
      <c r="M122" s="165" t="s">
        <v>880</v>
      </c>
      <c r="N122" s="35" t="s">
        <v>773</v>
      </c>
      <c r="O122" s="35" t="s">
        <v>1486</v>
      </c>
      <c r="P122" s="35" t="s">
        <v>773</v>
      </c>
      <c r="Q122" s="35" t="s">
        <v>773</v>
      </c>
      <c r="R122" s="35" t="s">
        <v>1286</v>
      </c>
      <c r="S122" s="1"/>
      <c r="T122" s="96"/>
      <c r="U122" s="96"/>
    </row>
    <row r="125">
      <c r="C125" s="558" t="s">
        <v>1394</v>
      </c>
    </row>
    <row r="126">
      <c r="C126" s="24" t="s">
        <v>1487</v>
      </c>
    </row>
    <row r="127">
      <c r="C127" s="219" t="s">
        <v>1489</v>
      </c>
    </row>
    <row r="131">
      <c r="B131" s="360" t="s">
        <v>1490</v>
      </c>
      <c r="C131" s="4"/>
      <c r="D131" s="4"/>
      <c r="E131" s="4"/>
      <c r="F131" s="4"/>
      <c r="G131" s="4"/>
      <c r="H131" s="4"/>
      <c r="I131" s="4"/>
      <c r="J131" s="4"/>
      <c r="K131" s="4"/>
      <c r="L131" s="4"/>
      <c r="M131" s="4"/>
      <c r="N131" s="4"/>
      <c r="O131" s="4"/>
      <c r="P131" s="4"/>
      <c r="Q131" s="4"/>
      <c r="R131" s="4"/>
      <c r="S131" s="4"/>
      <c r="T131" s="6"/>
      <c r="U131" s="305"/>
    </row>
    <row r="132">
      <c r="A132" s="306" t="s">
        <v>10</v>
      </c>
      <c r="B132" s="583" t="s">
        <v>13</v>
      </c>
      <c r="C132" s="583" t="s">
        <v>11</v>
      </c>
      <c r="D132" s="584" t="s">
        <v>693</v>
      </c>
      <c r="E132" s="585" t="s">
        <v>15</v>
      </c>
      <c r="F132" s="583" t="s">
        <v>698</v>
      </c>
      <c r="G132" s="583" t="s">
        <v>911</v>
      </c>
      <c r="H132" s="583" t="s">
        <v>700</v>
      </c>
      <c r="I132" s="583" t="s">
        <v>701</v>
      </c>
      <c r="J132" s="583" t="s">
        <v>704</v>
      </c>
      <c r="K132" s="583" t="s">
        <v>706</v>
      </c>
      <c r="L132" s="583" t="s">
        <v>707</v>
      </c>
      <c r="M132" s="583" t="s">
        <v>709</v>
      </c>
      <c r="N132" s="583" t="s">
        <v>710</v>
      </c>
      <c r="O132" s="583" t="s">
        <v>711</v>
      </c>
      <c r="P132" s="583" t="s">
        <v>712</v>
      </c>
      <c r="Q132" s="583" t="s">
        <v>1494</v>
      </c>
      <c r="R132" s="583" t="s">
        <v>1495</v>
      </c>
      <c r="S132" s="583" t="s">
        <v>719</v>
      </c>
      <c r="T132" s="583" t="s">
        <v>721</v>
      </c>
      <c r="V132" s="586"/>
      <c r="W132" s="586"/>
      <c r="X132" s="586"/>
      <c r="Y132" s="586"/>
      <c r="Z132" s="586"/>
      <c r="AA132" s="586"/>
      <c r="AB132" s="586"/>
      <c r="AC132" s="586"/>
      <c r="AD132" s="586"/>
      <c r="AE132" s="586"/>
      <c r="AF132" s="586"/>
      <c r="AG132" s="586"/>
      <c r="AH132" s="586"/>
      <c r="AI132" s="586"/>
      <c r="AJ132" s="586"/>
      <c r="AK132" s="586"/>
      <c r="AL132" s="586"/>
      <c r="AM132" s="586"/>
      <c r="AN132" s="586"/>
      <c r="AO132" s="586"/>
      <c r="AP132" s="586"/>
      <c r="AQ132" s="586"/>
      <c r="AR132" s="586"/>
      <c r="AS132" s="586"/>
      <c r="AT132" s="586"/>
      <c r="AU132" s="586"/>
      <c r="AV132" s="586"/>
      <c r="AW132" s="586"/>
      <c r="AX132" s="586"/>
    </row>
    <row r="133">
      <c r="A133" s="568">
        <v>46027.0</v>
      </c>
      <c r="B133" s="427" t="s">
        <v>360</v>
      </c>
      <c r="C133" s="427" t="s">
        <v>1497</v>
      </c>
      <c r="D133" s="462">
        <v>180000.0</v>
      </c>
      <c r="E133" s="427" t="s">
        <v>77</v>
      </c>
      <c r="F133" s="427" t="s">
        <v>880</v>
      </c>
      <c r="G133" s="427" t="s">
        <v>880</v>
      </c>
      <c r="H133" s="427" t="s">
        <v>880</v>
      </c>
      <c r="I133" s="427" t="s">
        <v>880</v>
      </c>
      <c r="J133" s="465">
        <f>D133</f>
        <v>180000</v>
      </c>
      <c r="K133" s="427" t="s">
        <v>880</v>
      </c>
      <c r="L133" s="468" t="s">
        <v>328</v>
      </c>
      <c r="M133" s="427" t="s">
        <v>773</v>
      </c>
      <c r="N133" s="427" t="s">
        <v>773</v>
      </c>
      <c r="O133" s="427" t="s">
        <v>1198</v>
      </c>
      <c r="P133" s="427" t="s">
        <v>773</v>
      </c>
      <c r="Q133" s="427" t="s">
        <v>773</v>
      </c>
      <c r="R133" s="427">
        <v>10.0</v>
      </c>
      <c r="S133" s="469"/>
      <c r="T133" s="470">
        <v>46034.0</v>
      </c>
      <c r="U133" s="471" t="s">
        <v>1429</v>
      </c>
      <c r="V133" s="586"/>
      <c r="W133" s="586"/>
      <c r="X133" s="586"/>
      <c r="Y133" s="586"/>
      <c r="Z133" s="586"/>
      <c r="AA133" s="586"/>
      <c r="AB133" s="586"/>
      <c r="AC133" s="586"/>
      <c r="AD133" s="586"/>
      <c r="AE133" s="586"/>
      <c r="AF133" s="586"/>
      <c r="AG133" s="586"/>
      <c r="AH133" s="586"/>
      <c r="AI133" s="586"/>
      <c r="AJ133" s="586"/>
      <c r="AK133" s="586"/>
      <c r="AL133" s="586"/>
      <c r="AM133" s="586"/>
      <c r="AN133" s="586"/>
      <c r="AO133" s="586"/>
      <c r="AP133" s="586"/>
      <c r="AQ133" s="586"/>
      <c r="AR133" s="586"/>
      <c r="AS133" s="586"/>
      <c r="AT133" s="586"/>
      <c r="AU133" s="586"/>
      <c r="AV133" s="586"/>
      <c r="AW133" s="586"/>
      <c r="AX133" s="586"/>
    </row>
    <row r="134">
      <c r="A134" s="568">
        <v>46030.0</v>
      </c>
      <c r="B134" s="427" t="s">
        <v>109</v>
      </c>
      <c r="C134" s="427" t="s">
        <v>1502</v>
      </c>
      <c r="D134" s="462">
        <v>207000.0</v>
      </c>
      <c r="E134" s="427" t="s">
        <v>77</v>
      </c>
      <c r="F134" s="427" t="s">
        <v>880</v>
      </c>
      <c r="G134" s="427" t="s">
        <v>880</v>
      </c>
      <c r="H134" s="462">
        <v>46000.0</v>
      </c>
      <c r="I134" s="427" t="s">
        <v>880</v>
      </c>
      <c r="J134" s="464">
        <f>H134+D134</f>
        <v>253000</v>
      </c>
      <c r="K134" s="427" t="s">
        <v>773</v>
      </c>
      <c r="L134" s="469"/>
      <c r="M134" s="427" t="s">
        <v>773</v>
      </c>
      <c r="N134" s="427" t="s">
        <v>773</v>
      </c>
      <c r="O134" s="427" t="s">
        <v>1198</v>
      </c>
      <c r="P134" s="427" t="s">
        <v>773</v>
      </c>
      <c r="Q134" s="427" t="s">
        <v>773</v>
      </c>
      <c r="R134" s="427" t="s">
        <v>1286</v>
      </c>
      <c r="S134" s="469"/>
      <c r="T134" s="470">
        <v>46034.0</v>
      </c>
      <c r="V134" s="586"/>
      <c r="W134" s="586"/>
      <c r="X134" s="586"/>
      <c r="Y134" s="586"/>
      <c r="Z134" s="586"/>
      <c r="AA134" s="586"/>
      <c r="AB134" s="586"/>
      <c r="AC134" s="586"/>
      <c r="AD134" s="586"/>
      <c r="AE134" s="586"/>
      <c r="AF134" s="586"/>
      <c r="AG134" s="586"/>
      <c r="AH134" s="586"/>
      <c r="AI134" s="586"/>
      <c r="AJ134" s="586"/>
      <c r="AK134" s="586"/>
      <c r="AL134" s="586"/>
      <c r="AM134" s="586"/>
      <c r="AN134" s="586"/>
      <c r="AO134" s="586"/>
      <c r="AP134" s="586"/>
      <c r="AQ134" s="586"/>
      <c r="AR134" s="586"/>
      <c r="AS134" s="586"/>
      <c r="AT134" s="586"/>
      <c r="AU134" s="586"/>
      <c r="AV134" s="586"/>
      <c r="AW134" s="586"/>
      <c r="AX134" s="586"/>
    </row>
    <row r="135">
      <c r="A135" s="470">
        <v>46031.0</v>
      </c>
      <c r="B135" s="427" t="s">
        <v>546</v>
      </c>
      <c r="C135" s="427" t="s">
        <v>1504</v>
      </c>
      <c r="D135" s="588">
        <f>J135</f>
        <v>227000</v>
      </c>
      <c r="E135" s="427" t="s">
        <v>77</v>
      </c>
      <c r="F135" s="427" t="s">
        <v>880</v>
      </c>
      <c r="G135" s="427" t="s">
        <v>880</v>
      </c>
      <c r="H135" s="427" t="s">
        <v>880</v>
      </c>
      <c r="I135" s="427" t="s">
        <v>880</v>
      </c>
      <c r="J135" s="589">
        <v>227000.0</v>
      </c>
      <c r="K135" s="427" t="s">
        <v>880</v>
      </c>
      <c r="L135" s="468" t="s">
        <v>1505</v>
      </c>
      <c r="M135" s="427" t="s">
        <v>773</v>
      </c>
      <c r="N135" s="427" t="s">
        <v>773</v>
      </c>
      <c r="O135" s="427" t="s">
        <v>1285</v>
      </c>
      <c r="P135" s="427" t="s">
        <v>773</v>
      </c>
      <c r="Q135" s="427" t="s">
        <v>773</v>
      </c>
      <c r="R135" s="427" t="s">
        <v>777</v>
      </c>
      <c r="S135" s="469"/>
      <c r="T135" s="470">
        <v>46049.0</v>
      </c>
      <c r="V135" s="591"/>
      <c r="W135" s="591"/>
      <c r="X135" s="591"/>
      <c r="Y135" s="591"/>
      <c r="Z135" s="591"/>
      <c r="AA135" s="591"/>
      <c r="AB135" s="591"/>
      <c r="AC135" s="591"/>
      <c r="AD135" s="591"/>
      <c r="AE135" s="591"/>
      <c r="AF135" s="591"/>
      <c r="AG135" s="591"/>
      <c r="AH135" s="591"/>
      <c r="AI135" s="591"/>
      <c r="AJ135" s="591"/>
      <c r="AK135" s="591"/>
      <c r="AL135" s="591"/>
      <c r="AM135" s="591"/>
      <c r="AN135" s="591"/>
      <c r="AO135" s="591"/>
      <c r="AP135" s="591"/>
      <c r="AQ135" s="591"/>
      <c r="AR135" s="591"/>
      <c r="AS135" s="591"/>
      <c r="AT135" s="591"/>
      <c r="AU135" s="591"/>
      <c r="AV135" s="591"/>
      <c r="AW135" s="591"/>
      <c r="AX135" s="591"/>
    </row>
    <row r="136">
      <c r="A136" s="568">
        <v>46049.0</v>
      </c>
      <c r="B136" s="427" t="s">
        <v>1508</v>
      </c>
      <c r="C136" s="427" t="s">
        <v>1509</v>
      </c>
      <c r="D136" s="479">
        <v>175000.0</v>
      </c>
      <c r="E136" s="427" t="s">
        <v>77</v>
      </c>
      <c r="F136" s="427" t="s">
        <v>880</v>
      </c>
      <c r="G136" s="427" t="s">
        <v>880</v>
      </c>
      <c r="H136" s="427" t="s">
        <v>880</v>
      </c>
      <c r="I136" s="427" t="s">
        <v>880</v>
      </c>
      <c r="J136" s="42">
        <f t="shared" ref="J136:J138" si="5">D136</f>
        <v>175000</v>
      </c>
      <c r="K136" s="427" t="s">
        <v>880</v>
      </c>
      <c r="L136" s="468" t="s">
        <v>319</v>
      </c>
      <c r="M136" s="427" t="s">
        <v>773</v>
      </c>
      <c r="N136" s="427" t="s">
        <v>773</v>
      </c>
      <c r="O136" s="427" t="s">
        <v>1198</v>
      </c>
      <c r="P136" s="427" t="s">
        <v>773</v>
      </c>
      <c r="Q136" s="427" t="s">
        <v>773</v>
      </c>
      <c r="R136" s="427">
        <v>10.0</v>
      </c>
      <c r="S136" s="469"/>
      <c r="T136" s="470">
        <v>46053.0</v>
      </c>
      <c r="V136" s="586"/>
      <c r="W136" s="586"/>
      <c r="X136" s="586"/>
      <c r="Y136" s="586"/>
      <c r="Z136" s="586"/>
      <c r="AA136" s="586"/>
      <c r="AB136" s="586"/>
      <c r="AC136" s="586"/>
      <c r="AD136" s="586"/>
      <c r="AE136" s="586"/>
      <c r="AF136" s="586"/>
      <c r="AG136" s="586"/>
      <c r="AH136" s="586"/>
      <c r="AI136" s="586"/>
      <c r="AJ136" s="586"/>
      <c r="AK136" s="586"/>
      <c r="AL136" s="586"/>
      <c r="AM136" s="586"/>
      <c r="AN136" s="586"/>
      <c r="AO136" s="586"/>
      <c r="AP136" s="586"/>
      <c r="AQ136" s="586"/>
      <c r="AR136" s="586"/>
      <c r="AS136" s="586"/>
      <c r="AT136" s="586"/>
      <c r="AU136" s="586"/>
      <c r="AV136" s="586"/>
      <c r="AW136" s="586"/>
      <c r="AX136" s="586"/>
    </row>
    <row r="137">
      <c r="A137" s="470">
        <v>46053.0</v>
      </c>
      <c r="B137" s="427" t="s">
        <v>45</v>
      </c>
      <c r="C137" s="427" t="s">
        <v>1513</v>
      </c>
      <c r="D137" s="462">
        <v>180000.0</v>
      </c>
      <c r="E137" s="427" t="s">
        <v>77</v>
      </c>
      <c r="F137" s="427" t="s">
        <v>880</v>
      </c>
      <c r="G137" s="427" t="s">
        <v>880</v>
      </c>
      <c r="H137" s="427" t="s">
        <v>880</v>
      </c>
      <c r="I137" s="427" t="s">
        <v>880</v>
      </c>
      <c r="J137" s="465">
        <f t="shared" si="5"/>
        <v>180000</v>
      </c>
      <c r="K137" s="427" t="s">
        <v>880</v>
      </c>
      <c r="L137" s="468" t="s">
        <v>1514</v>
      </c>
      <c r="M137" s="427" t="s">
        <v>773</v>
      </c>
      <c r="N137" s="427" t="s">
        <v>773</v>
      </c>
      <c r="O137" s="427" t="s">
        <v>1198</v>
      </c>
      <c r="P137" s="427" t="s">
        <v>773</v>
      </c>
      <c r="Q137" s="427" t="s">
        <v>773</v>
      </c>
      <c r="R137" s="427" t="s">
        <v>1286</v>
      </c>
      <c r="S137" s="469"/>
      <c r="T137" s="470">
        <v>46065.0</v>
      </c>
      <c r="V137" s="591"/>
      <c r="W137" s="591"/>
      <c r="X137" s="591"/>
      <c r="Y137" s="591"/>
      <c r="Z137" s="591"/>
      <c r="AA137" s="591"/>
      <c r="AB137" s="591"/>
      <c r="AC137" s="591"/>
      <c r="AD137" s="591"/>
      <c r="AE137" s="591"/>
      <c r="AF137" s="591"/>
      <c r="AG137" s="591"/>
      <c r="AH137" s="591"/>
      <c r="AI137" s="591"/>
      <c r="AJ137" s="591"/>
      <c r="AK137" s="591"/>
      <c r="AL137" s="591"/>
      <c r="AM137" s="591"/>
      <c r="AN137" s="591"/>
      <c r="AO137" s="591"/>
      <c r="AP137" s="591"/>
      <c r="AQ137" s="591"/>
      <c r="AR137" s="591"/>
      <c r="AS137" s="591"/>
      <c r="AT137" s="591"/>
      <c r="AU137" s="591"/>
      <c r="AV137" s="591"/>
      <c r="AW137" s="591"/>
      <c r="AX137" s="591"/>
    </row>
    <row r="138">
      <c r="A138" s="481">
        <v>46058.0</v>
      </c>
      <c r="B138" s="482" t="s">
        <v>1517</v>
      </c>
      <c r="C138" s="482" t="s">
        <v>1518</v>
      </c>
      <c r="D138" s="483">
        <v>215000.0</v>
      </c>
      <c r="E138" s="482" t="s">
        <v>77</v>
      </c>
      <c r="F138" s="593">
        <v>120000.0</v>
      </c>
      <c r="G138" s="482" t="s">
        <v>880</v>
      </c>
      <c r="H138" s="482" t="s">
        <v>880</v>
      </c>
      <c r="I138" s="482" t="s">
        <v>880</v>
      </c>
      <c r="J138" s="465">
        <f t="shared" si="5"/>
        <v>215000</v>
      </c>
      <c r="K138" s="482" t="s">
        <v>880</v>
      </c>
      <c r="L138" s="484" t="s">
        <v>1519</v>
      </c>
      <c r="M138" s="482" t="s">
        <v>773</v>
      </c>
      <c r="N138" s="482" t="s">
        <v>773</v>
      </c>
      <c r="O138" s="482" t="s">
        <v>1179</v>
      </c>
      <c r="P138" s="482" t="s">
        <v>773</v>
      </c>
      <c r="Q138" s="482" t="s">
        <v>773</v>
      </c>
      <c r="R138" s="482" t="s">
        <v>1286</v>
      </c>
      <c r="S138" s="486"/>
      <c r="T138" s="481">
        <v>46065.0</v>
      </c>
      <c r="U138" s="471" t="s">
        <v>1523</v>
      </c>
      <c r="V138" s="591"/>
      <c r="W138" s="591"/>
      <c r="X138" s="591"/>
      <c r="Y138" s="591"/>
      <c r="Z138" s="591"/>
      <c r="AA138" s="591"/>
      <c r="AB138" s="591"/>
      <c r="AC138" s="591"/>
      <c r="AD138" s="591"/>
      <c r="AE138" s="591"/>
      <c r="AF138" s="591"/>
      <c r="AG138" s="591"/>
      <c r="AH138" s="591"/>
      <c r="AI138" s="591"/>
      <c r="AJ138" s="591"/>
      <c r="AK138" s="591"/>
      <c r="AL138" s="591"/>
      <c r="AM138" s="591"/>
      <c r="AN138" s="591"/>
      <c r="AO138" s="591"/>
      <c r="AP138" s="591"/>
      <c r="AQ138" s="591"/>
      <c r="AR138" s="591"/>
      <c r="AS138" s="591"/>
      <c r="AT138" s="591"/>
      <c r="AU138" s="591"/>
      <c r="AV138" s="591"/>
      <c r="AW138" s="591"/>
      <c r="AX138" s="591"/>
    </row>
    <row r="139">
      <c r="A139" s="528">
        <v>46094.0</v>
      </c>
      <c r="B139" s="594" t="s">
        <v>977</v>
      </c>
      <c r="C139" s="594" t="s">
        <v>1525</v>
      </c>
      <c r="D139" s="509">
        <v>192400.0</v>
      </c>
      <c r="E139" s="506" t="s">
        <v>77</v>
      </c>
      <c r="F139" s="506" t="s">
        <v>880</v>
      </c>
      <c r="G139" s="506" t="s">
        <v>880</v>
      </c>
      <c r="H139" s="506" t="s">
        <v>880</v>
      </c>
      <c r="I139" s="506" t="s">
        <v>880</v>
      </c>
      <c r="J139" s="464">
        <v>192400.0</v>
      </c>
      <c r="K139" s="506" t="s">
        <v>880</v>
      </c>
      <c r="L139" s="518" t="s">
        <v>1526</v>
      </c>
      <c r="M139" s="597" t="s">
        <v>880</v>
      </c>
      <c r="N139" s="506" t="s">
        <v>773</v>
      </c>
      <c r="O139" s="506" t="s">
        <v>1179</v>
      </c>
      <c r="P139" s="506" t="s">
        <v>773</v>
      </c>
      <c r="Q139" s="506" t="s">
        <v>1286</v>
      </c>
      <c r="R139" s="506" t="s">
        <v>1286</v>
      </c>
      <c r="S139" s="534"/>
      <c r="T139" s="505">
        <v>46098.0</v>
      </c>
      <c r="U139" s="471" t="s">
        <v>1291</v>
      </c>
      <c r="V139" s="586"/>
      <c r="W139" s="586"/>
      <c r="X139" s="586"/>
      <c r="Y139" s="586"/>
      <c r="Z139" s="586"/>
      <c r="AA139" s="586"/>
      <c r="AB139" s="586"/>
      <c r="AC139" s="586"/>
      <c r="AD139" s="586"/>
      <c r="AE139" s="586"/>
      <c r="AF139" s="586"/>
      <c r="AG139" s="586"/>
      <c r="AH139" s="586"/>
      <c r="AI139" s="586"/>
      <c r="AJ139" s="586"/>
      <c r="AK139" s="586"/>
      <c r="AL139" s="586"/>
      <c r="AM139" s="586"/>
      <c r="AN139" s="586"/>
      <c r="AO139" s="586"/>
      <c r="AP139" s="586"/>
      <c r="AQ139" s="586"/>
      <c r="AR139" s="586"/>
      <c r="AS139" s="586"/>
      <c r="AT139" s="586"/>
      <c r="AU139" s="586"/>
      <c r="AV139" s="586"/>
      <c r="AW139" s="586"/>
      <c r="AX139" s="586"/>
    </row>
    <row r="140">
      <c r="A140" s="605">
        <v>46095.0</v>
      </c>
      <c r="B140" s="594" t="s">
        <v>1533</v>
      </c>
      <c r="C140" s="607" t="s">
        <v>1534</v>
      </c>
      <c r="D140" s="509">
        <v>202400.0</v>
      </c>
      <c r="E140" s="609" t="s">
        <v>77</v>
      </c>
      <c r="F140" s="609" t="s">
        <v>880</v>
      </c>
      <c r="G140" s="609" t="s">
        <v>880</v>
      </c>
      <c r="H140" s="609" t="s">
        <v>880</v>
      </c>
      <c r="I140" s="609" t="s">
        <v>880</v>
      </c>
      <c r="J140" s="610">
        <f t="shared" ref="J140:J141" si="6">D140</f>
        <v>202400</v>
      </c>
      <c r="K140" s="597" t="s">
        <v>880</v>
      </c>
      <c r="L140" s="518" t="s">
        <v>1538</v>
      </c>
      <c r="M140" s="597" t="s">
        <v>880</v>
      </c>
      <c r="N140" s="506" t="s">
        <v>773</v>
      </c>
      <c r="O140" s="506" t="s">
        <v>1179</v>
      </c>
      <c r="P140" s="506" t="s">
        <v>773</v>
      </c>
      <c r="Q140" s="506" t="s">
        <v>1286</v>
      </c>
      <c r="R140" s="506" t="s">
        <v>1286</v>
      </c>
      <c r="S140" s="534"/>
      <c r="T140" s="517">
        <v>46105.0</v>
      </c>
      <c r="V140" s="586"/>
      <c r="W140" s="586"/>
      <c r="X140" s="586"/>
      <c r="Y140" s="586"/>
      <c r="Z140" s="586"/>
      <c r="AA140" s="586"/>
      <c r="AB140" s="586"/>
      <c r="AC140" s="586"/>
      <c r="AD140" s="586"/>
      <c r="AE140" s="586"/>
      <c r="AF140" s="586"/>
      <c r="AG140" s="586"/>
      <c r="AH140" s="586"/>
      <c r="AI140" s="586"/>
      <c r="AJ140" s="586"/>
      <c r="AK140" s="586"/>
      <c r="AL140" s="586"/>
      <c r="AM140" s="586"/>
      <c r="AN140" s="586"/>
      <c r="AO140" s="586"/>
      <c r="AP140" s="586"/>
      <c r="AQ140" s="586"/>
      <c r="AR140" s="586"/>
      <c r="AS140" s="586"/>
      <c r="AT140" s="586"/>
      <c r="AU140" s="586"/>
      <c r="AV140" s="586"/>
      <c r="AW140" s="586"/>
      <c r="AX140" s="586"/>
    </row>
    <row r="141">
      <c r="A141" s="528">
        <v>46096.0</v>
      </c>
      <c r="B141" s="594" t="s">
        <v>1017</v>
      </c>
      <c r="C141" s="594" t="s">
        <v>1549</v>
      </c>
      <c r="D141" s="509">
        <v>171400.0</v>
      </c>
      <c r="E141" s="609" t="s">
        <v>77</v>
      </c>
      <c r="F141" s="609" t="s">
        <v>880</v>
      </c>
      <c r="G141" s="609" t="s">
        <v>880</v>
      </c>
      <c r="H141" s="609" t="s">
        <v>880</v>
      </c>
      <c r="I141" s="609" t="s">
        <v>880</v>
      </c>
      <c r="J141" s="610">
        <f t="shared" si="6"/>
        <v>171400</v>
      </c>
      <c r="K141" s="597" t="s">
        <v>880</v>
      </c>
      <c r="L141" s="518" t="s">
        <v>1555</v>
      </c>
      <c r="M141" s="597" t="s">
        <v>880</v>
      </c>
      <c r="N141" s="506" t="s">
        <v>773</v>
      </c>
      <c r="O141" s="506" t="s">
        <v>1179</v>
      </c>
      <c r="P141" s="506" t="s">
        <v>773</v>
      </c>
      <c r="Q141" s="506" t="s">
        <v>773</v>
      </c>
      <c r="R141" s="506">
        <v>10.0</v>
      </c>
      <c r="S141" s="534"/>
      <c r="T141" s="517">
        <v>46105.0</v>
      </c>
      <c r="V141" s="586"/>
      <c r="W141" s="586"/>
      <c r="X141" s="586"/>
      <c r="Y141" s="586"/>
      <c r="Z141" s="586"/>
      <c r="AA141" s="586"/>
      <c r="AB141" s="586"/>
      <c r="AC141" s="586"/>
      <c r="AD141" s="586"/>
      <c r="AE141" s="586"/>
      <c r="AF141" s="586"/>
      <c r="AG141" s="586"/>
      <c r="AH141" s="586"/>
      <c r="AI141" s="586"/>
      <c r="AJ141" s="586"/>
      <c r="AK141" s="586"/>
      <c r="AL141" s="586"/>
      <c r="AM141" s="586"/>
      <c r="AN141" s="586"/>
      <c r="AO141" s="586"/>
      <c r="AP141" s="586"/>
      <c r="AQ141" s="586"/>
      <c r="AR141" s="586"/>
      <c r="AS141" s="586"/>
      <c r="AT141" s="586"/>
      <c r="AU141" s="586"/>
      <c r="AV141" s="586"/>
      <c r="AW141" s="586"/>
      <c r="AX141" s="586"/>
    </row>
    <row r="142">
      <c r="A142" s="528">
        <v>46099.0</v>
      </c>
      <c r="B142" s="594" t="s">
        <v>990</v>
      </c>
      <c r="C142" s="594" t="s">
        <v>1563</v>
      </c>
      <c r="D142" s="634">
        <v>187000.0</v>
      </c>
      <c r="E142" s="636" t="s">
        <v>77</v>
      </c>
      <c r="F142" s="610">
        <v>102000.0</v>
      </c>
      <c r="G142" s="609" t="s">
        <v>880</v>
      </c>
      <c r="H142" s="636">
        <v>12000.0</v>
      </c>
      <c r="I142" s="609" t="s">
        <v>880</v>
      </c>
      <c r="J142" s="610">
        <f>H142+D142</f>
        <v>199000</v>
      </c>
      <c r="K142" s="597" t="s">
        <v>880</v>
      </c>
      <c r="L142" s="518" t="s">
        <v>1568</v>
      </c>
      <c r="M142" s="597" t="s">
        <v>880</v>
      </c>
      <c r="N142" s="506" t="s">
        <v>773</v>
      </c>
      <c r="O142" s="506" t="s">
        <v>837</v>
      </c>
      <c r="P142" s="506" t="s">
        <v>773</v>
      </c>
      <c r="Q142" s="506" t="s">
        <v>1286</v>
      </c>
      <c r="R142" s="506" t="s">
        <v>1286</v>
      </c>
      <c r="S142" s="646" t="s">
        <v>1574</v>
      </c>
      <c r="T142" s="517">
        <v>46105.0</v>
      </c>
      <c r="V142" s="586"/>
      <c r="W142" s="586"/>
      <c r="X142" s="586"/>
      <c r="Y142" s="586"/>
      <c r="Z142" s="586"/>
      <c r="AA142" s="586"/>
      <c r="AB142" s="586"/>
      <c r="AC142" s="586"/>
      <c r="AD142" s="586"/>
      <c r="AE142" s="586"/>
      <c r="AF142" s="586"/>
      <c r="AG142" s="586"/>
      <c r="AH142" s="586"/>
      <c r="AI142" s="586"/>
      <c r="AJ142" s="586"/>
      <c r="AK142" s="586"/>
      <c r="AL142" s="586"/>
      <c r="AM142" s="586"/>
      <c r="AN142" s="586"/>
      <c r="AO142" s="586"/>
      <c r="AP142" s="586"/>
      <c r="AQ142" s="586"/>
      <c r="AR142" s="586"/>
      <c r="AS142" s="586"/>
      <c r="AT142" s="586"/>
      <c r="AU142" s="586"/>
      <c r="AV142" s="586"/>
      <c r="AW142" s="586"/>
      <c r="AX142" s="586"/>
    </row>
    <row r="143">
      <c r="A143" s="528">
        <v>46107.0</v>
      </c>
      <c r="B143" s="594" t="s">
        <v>1021</v>
      </c>
      <c r="C143" s="594" t="s">
        <v>1577</v>
      </c>
      <c r="D143" s="509">
        <v>187400.0</v>
      </c>
      <c r="E143" s="506" t="s">
        <v>77</v>
      </c>
      <c r="F143" s="464">
        <v>36000.0</v>
      </c>
      <c r="G143" s="506" t="s">
        <v>880</v>
      </c>
      <c r="H143" s="506" t="s">
        <v>880</v>
      </c>
      <c r="I143" s="506" t="s">
        <v>880</v>
      </c>
      <c r="J143" s="464">
        <f t="shared" ref="J143:J144" si="7">D143</f>
        <v>187400</v>
      </c>
      <c r="K143" s="506" t="s">
        <v>880</v>
      </c>
      <c r="L143" s="533" t="s">
        <v>1580</v>
      </c>
      <c r="M143" s="506" t="s">
        <v>880</v>
      </c>
      <c r="N143" s="506" t="s">
        <v>773</v>
      </c>
      <c r="O143" s="506" t="s">
        <v>1486</v>
      </c>
      <c r="P143" s="506" t="s">
        <v>773</v>
      </c>
      <c r="Q143" s="506" t="s">
        <v>1286</v>
      </c>
      <c r="R143" s="506" t="s">
        <v>1286</v>
      </c>
      <c r="S143" s="520"/>
      <c r="T143" s="662">
        <v>46110.0</v>
      </c>
      <c r="V143" s="586"/>
      <c r="W143" s="586"/>
      <c r="X143" s="586"/>
      <c r="Y143" s="586"/>
      <c r="Z143" s="586"/>
      <c r="AA143" s="586"/>
      <c r="AB143" s="586"/>
      <c r="AC143" s="586"/>
      <c r="AD143" s="586"/>
      <c r="AE143" s="586"/>
      <c r="AF143" s="586"/>
      <c r="AG143" s="586"/>
      <c r="AH143" s="586"/>
      <c r="AI143" s="586"/>
      <c r="AJ143" s="586"/>
      <c r="AK143" s="586"/>
      <c r="AL143" s="586"/>
      <c r="AM143" s="586"/>
      <c r="AN143" s="586"/>
      <c r="AO143" s="586"/>
      <c r="AP143" s="586"/>
      <c r="AQ143" s="586"/>
      <c r="AR143" s="586"/>
      <c r="AS143" s="586"/>
      <c r="AT143" s="586"/>
      <c r="AU143" s="586"/>
      <c r="AV143" s="586"/>
      <c r="AW143" s="586"/>
      <c r="AX143" s="586"/>
    </row>
    <row r="144">
      <c r="A144" s="528">
        <v>46110.0</v>
      </c>
      <c r="B144" s="594" t="s">
        <v>1076</v>
      </c>
      <c r="C144" s="594" t="s">
        <v>1599</v>
      </c>
      <c r="D144" s="509">
        <v>187400.0</v>
      </c>
      <c r="E144" s="506" t="s">
        <v>77</v>
      </c>
      <c r="F144" s="464">
        <v>36000.0</v>
      </c>
      <c r="G144" s="506" t="s">
        <v>880</v>
      </c>
      <c r="H144" s="506" t="s">
        <v>880</v>
      </c>
      <c r="I144" s="506" t="s">
        <v>880</v>
      </c>
      <c r="J144" s="472">
        <f t="shared" si="7"/>
        <v>187400</v>
      </c>
      <c r="K144" s="506" t="s">
        <v>880</v>
      </c>
      <c r="L144" s="533" t="s">
        <v>1601</v>
      </c>
      <c r="M144" s="506" t="s">
        <v>880</v>
      </c>
      <c r="N144" s="506" t="s">
        <v>773</v>
      </c>
      <c r="O144" s="506" t="s">
        <v>1179</v>
      </c>
      <c r="P144" s="506" t="s">
        <v>773</v>
      </c>
      <c r="Q144" s="506" t="s">
        <v>773</v>
      </c>
      <c r="R144" s="506" t="s">
        <v>1286</v>
      </c>
      <c r="S144" s="675"/>
      <c r="T144" s="517">
        <v>46112.0</v>
      </c>
      <c r="V144" s="586"/>
      <c r="W144" s="586"/>
      <c r="X144" s="586"/>
      <c r="Y144" s="586"/>
      <c r="Z144" s="586"/>
      <c r="AA144" s="586"/>
      <c r="AB144" s="586"/>
      <c r="AC144" s="586"/>
      <c r="AD144" s="586"/>
      <c r="AE144" s="586"/>
      <c r="AF144" s="586"/>
      <c r="AG144" s="586"/>
      <c r="AH144" s="586"/>
      <c r="AI144" s="586"/>
      <c r="AJ144" s="586"/>
      <c r="AK144" s="586"/>
      <c r="AL144" s="586"/>
      <c r="AM144" s="586"/>
      <c r="AN144" s="586"/>
      <c r="AO144" s="586"/>
      <c r="AP144" s="586"/>
      <c r="AQ144" s="586"/>
      <c r="AR144" s="586"/>
      <c r="AS144" s="586"/>
      <c r="AT144" s="586"/>
      <c r="AU144" s="586"/>
      <c r="AV144" s="586"/>
      <c r="AW144" s="586"/>
      <c r="AX144" s="586"/>
    </row>
    <row r="145">
      <c r="A145" s="528">
        <v>46111.0</v>
      </c>
      <c r="B145" s="594" t="s">
        <v>1607</v>
      </c>
      <c r="C145" s="594" t="s">
        <v>1608</v>
      </c>
      <c r="D145" s="509">
        <v>171400.0</v>
      </c>
      <c r="E145" s="506" t="s">
        <v>77</v>
      </c>
      <c r="F145" s="506" t="s">
        <v>880</v>
      </c>
      <c r="G145" s="679">
        <v>13300.0</v>
      </c>
      <c r="H145" s="506" t="s">
        <v>880</v>
      </c>
      <c r="I145" s="506" t="s">
        <v>880</v>
      </c>
      <c r="J145" s="472">
        <f t="shared" ref="J145:J146" si="8">D145-G145</f>
        <v>158100</v>
      </c>
      <c r="K145" s="506" t="s">
        <v>880</v>
      </c>
      <c r="L145" s="533" t="s">
        <v>1617</v>
      </c>
      <c r="M145" s="506" t="s">
        <v>880</v>
      </c>
      <c r="N145" s="506" t="s">
        <v>773</v>
      </c>
      <c r="O145" s="506" t="s">
        <v>1486</v>
      </c>
      <c r="P145" s="506" t="s">
        <v>773</v>
      </c>
      <c r="Q145" s="506" t="s">
        <v>1286</v>
      </c>
      <c r="R145" s="506">
        <v>10.0</v>
      </c>
      <c r="S145" s="534"/>
      <c r="T145" s="517">
        <v>46169.0</v>
      </c>
      <c r="V145" s="586"/>
      <c r="W145" s="586"/>
      <c r="X145" s="586"/>
      <c r="Y145" s="586"/>
      <c r="Z145" s="586"/>
      <c r="AA145" s="586"/>
      <c r="AB145" s="586"/>
      <c r="AC145" s="586"/>
      <c r="AD145" s="586"/>
      <c r="AE145" s="586"/>
      <c r="AF145" s="586"/>
      <c r="AG145" s="586"/>
      <c r="AH145" s="586"/>
      <c r="AI145" s="586"/>
      <c r="AJ145" s="586"/>
      <c r="AK145" s="586"/>
      <c r="AL145" s="586"/>
      <c r="AM145" s="586"/>
      <c r="AN145" s="586"/>
      <c r="AO145" s="586"/>
      <c r="AP145" s="586"/>
      <c r="AQ145" s="586"/>
      <c r="AR145" s="586"/>
      <c r="AS145" s="586"/>
      <c r="AT145" s="586"/>
      <c r="AU145" s="586"/>
      <c r="AV145" s="586"/>
      <c r="AW145" s="586"/>
      <c r="AX145" s="586"/>
    </row>
    <row r="146">
      <c r="A146" s="687">
        <v>46114.0</v>
      </c>
      <c r="B146" s="315" t="s">
        <v>1621</v>
      </c>
      <c r="C146" s="689" t="s">
        <v>1622</v>
      </c>
      <c r="D146" s="107">
        <v>212400.0</v>
      </c>
      <c r="E146" s="35" t="s">
        <v>77</v>
      </c>
      <c r="F146" s="107">
        <v>300000.0</v>
      </c>
      <c r="G146" s="107">
        <v>40000.0</v>
      </c>
      <c r="H146" s="35" t="s">
        <v>880</v>
      </c>
      <c r="I146" s="35" t="s">
        <v>880</v>
      </c>
      <c r="J146" s="464">
        <f t="shared" si="8"/>
        <v>172400</v>
      </c>
      <c r="K146" s="35" t="s">
        <v>880</v>
      </c>
      <c r="L146" s="346" t="s">
        <v>1623</v>
      </c>
      <c r="M146" s="35" t="s">
        <v>880</v>
      </c>
      <c r="N146" s="35" t="s">
        <v>773</v>
      </c>
      <c r="O146" s="35" t="s">
        <v>1175</v>
      </c>
      <c r="P146" s="35" t="s">
        <v>773</v>
      </c>
      <c r="Q146" s="35" t="s">
        <v>1286</v>
      </c>
      <c r="R146" s="35" t="s">
        <v>1286</v>
      </c>
      <c r="S146" s="315" t="s">
        <v>1631</v>
      </c>
      <c r="T146" s="82">
        <v>46132.0</v>
      </c>
      <c r="U146" s="471" t="s">
        <v>1355</v>
      </c>
      <c r="V146" s="586"/>
      <c r="W146" s="586"/>
      <c r="X146" s="586"/>
      <c r="Y146" s="586"/>
      <c r="Z146" s="586"/>
      <c r="AA146" s="586"/>
      <c r="AB146" s="586"/>
      <c r="AC146" s="586"/>
      <c r="AD146" s="586"/>
      <c r="AE146" s="586"/>
      <c r="AF146" s="586"/>
      <c r="AG146" s="586"/>
      <c r="AH146" s="586"/>
      <c r="AI146" s="586"/>
      <c r="AJ146" s="586"/>
      <c r="AK146" s="586"/>
      <c r="AL146" s="586"/>
      <c r="AM146" s="586"/>
      <c r="AN146" s="586"/>
      <c r="AO146" s="586"/>
      <c r="AP146" s="586"/>
      <c r="AQ146" s="586"/>
      <c r="AR146" s="586"/>
      <c r="AS146" s="586"/>
      <c r="AT146" s="586"/>
      <c r="AU146" s="586"/>
      <c r="AV146" s="586"/>
      <c r="AW146" s="586"/>
      <c r="AX146" s="586"/>
    </row>
    <row r="147">
      <c r="A147" s="687">
        <v>46119.0</v>
      </c>
      <c r="B147" s="315" t="s">
        <v>1636</v>
      </c>
      <c r="C147" s="689" t="s">
        <v>1638</v>
      </c>
      <c r="D147" s="107">
        <v>212400.0</v>
      </c>
      <c r="E147" s="35" t="s">
        <v>77</v>
      </c>
      <c r="F147" s="107">
        <v>96000.0</v>
      </c>
      <c r="G147" s="35" t="s">
        <v>880</v>
      </c>
      <c r="H147" s="35" t="s">
        <v>880</v>
      </c>
      <c r="I147" s="35" t="s">
        <v>880</v>
      </c>
      <c r="J147" s="464">
        <f t="shared" ref="J147:J150" si="9">D147</f>
        <v>212400</v>
      </c>
      <c r="K147" s="35" t="s">
        <v>880</v>
      </c>
      <c r="L147" s="346" t="s">
        <v>1640</v>
      </c>
      <c r="M147" s="35" t="s">
        <v>880</v>
      </c>
      <c r="N147" s="35" t="s">
        <v>773</v>
      </c>
      <c r="O147" s="35" t="s">
        <v>1285</v>
      </c>
      <c r="P147" s="35" t="s">
        <v>773</v>
      </c>
      <c r="Q147" s="35" t="s">
        <v>1286</v>
      </c>
      <c r="R147" s="35" t="s">
        <v>1286</v>
      </c>
      <c r="S147" s="70"/>
      <c r="T147" s="71"/>
      <c r="V147" s="586"/>
      <c r="W147" s="586"/>
      <c r="X147" s="586"/>
      <c r="Y147" s="586"/>
      <c r="Z147" s="586"/>
      <c r="AA147" s="586"/>
      <c r="AB147" s="586"/>
      <c r="AC147" s="586"/>
      <c r="AD147" s="586"/>
      <c r="AE147" s="586"/>
      <c r="AF147" s="586"/>
      <c r="AG147" s="586"/>
      <c r="AH147" s="586"/>
      <c r="AI147" s="586"/>
      <c r="AJ147" s="586"/>
      <c r="AK147" s="586"/>
      <c r="AL147" s="586"/>
      <c r="AM147" s="586"/>
      <c r="AN147" s="586"/>
      <c r="AO147" s="586"/>
      <c r="AP147" s="586"/>
      <c r="AQ147" s="586"/>
      <c r="AR147" s="586"/>
      <c r="AS147" s="586"/>
      <c r="AT147" s="586"/>
      <c r="AU147" s="586"/>
      <c r="AV147" s="586"/>
      <c r="AW147" s="586"/>
      <c r="AX147" s="586"/>
    </row>
    <row r="148">
      <c r="A148" s="687">
        <v>46125.0</v>
      </c>
      <c r="B148" s="315" t="s">
        <v>1099</v>
      </c>
      <c r="C148" s="689" t="s">
        <v>1647</v>
      </c>
      <c r="D148" s="107">
        <v>209400.0</v>
      </c>
      <c r="E148" s="35" t="s">
        <v>77</v>
      </c>
      <c r="F148" s="107">
        <v>48000.0</v>
      </c>
      <c r="G148" s="35" t="s">
        <v>880</v>
      </c>
      <c r="H148" s="35" t="s">
        <v>880</v>
      </c>
      <c r="I148" s="35" t="s">
        <v>880</v>
      </c>
      <c r="J148" s="464">
        <f t="shared" si="9"/>
        <v>209400</v>
      </c>
      <c r="K148" s="35" t="s">
        <v>880</v>
      </c>
      <c r="L148" s="706" t="s">
        <v>1651</v>
      </c>
      <c r="M148" s="35" t="s">
        <v>880</v>
      </c>
      <c r="N148" s="35" t="s">
        <v>773</v>
      </c>
      <c r="O148" s="35" t="s">
        <v>1198</v>
      </c>
      <c r="P148" s="35" t="s">
        <v>773</v>
      </c>
      <c r="Q148" s="35" t="s">
        <v>1286</v>
      </c>
      <c r="R148" s="35">
        <v>10.0</v>
      </c>
      <c r="S148" s="70"/>
      <c r="T148" s="96"/>
      <c r="V148" s="586"/>
      <c r="W148" s="586"/>
      <c r="X148" s="586"/>
      <c r="Y148" s="586"/>
      <c r="Z148" s="586"/>
      <c r="AA148" s="586"/>
      <c r="AB148" s="586"/>
      <c r="AC148" s="586"/>
      <c r="AD148" s="586"/>
      <c r="AE148" s="586"/>
      <c r="AF148" s="586"/>
      <c r="AG148" s="586"/>
      <c r="AH148" s="586"/>
      <c r="AI148" s="586"/>
      <c r="AJ148" s="586"/>
      <c r="AK148" s="586"/>
      <c r="AL148" s="586"/>
      <c r="AM148" s="586"/>
      <c r="AN148" s="586"/>
      <c r="AO148" s="586"/>
      <c r="AP148" s="586"/>
      <c r="AQ148" s="586"/>
      <c r="AR148" s="586"/>
      <c r="AS148" s="586"/>
      <c r="AT148" s="586"/>
      <c r="AU148" s="586"/>
      <c r="AV148" s="586"/>
      <c r="AW148" s="586"/>
      <c r="AX148" s="586"/>
    </row>
    <row r="149">
      <c r="A149" s="172">
        <v>46127.0</v>
      </c>
      <c r="B149" s="173" t="s">
        <v>1081</v>
      </c>
      <c r="C149" s="689" t="s">
        <v>1656</v>
      </c>
      <c r="D149" s="107">
        <v>175000.0</v>
      </c>
      <c r="E149" s="34" t="s">
        <v>77</v>
      </c>
      <c r="F149" s="107">
        <v>42000.0</v>
      </c>
      <c r="G149" s="34" t="s">
        <v>880</v>
      </c>
      <c r="H149" s="34" t="s">
        <v>880</v>
      </c>
      <c r="I149" s="34" t="s">
        <v>880</v>
      </c>
      <c r="J149" s="464">
        <f t="shared" si="9"/>
        <v>175000</v>
      </c>
      <c r="K149" s="35" t="s">
        <v>880</v>
      </c>
      <c r="L149" s="387" t="s">
        <v>1657</v>
      </c>
      <c r="M149" s="34" t="s">
        <v>880</v>
      </c>
      <c r="N149" s="34" t="s">
        <v>773</v>
      </c>
      <c r="O149" s="110" t="s">
        <v>1175</v>
      </c>
      <c r="P149" s="34" t="s">
        <v>773</v>
      </c>
      <c r="Q149" s="34" t="s">
        <v>1286</v>
      </c>
      <c r="R149" s="34" t="s">
        <v>1286</v>
      </c>
      <c r="S149" s="173" t="s">
        <v>1660</v>
      </c>
      <c r="T149" s="48">
        <v>46142.0</v>
      </c>
      <c r="V149" s="586"/>
      <c r="W149" s="586"/>
      <c r="X149" s="586"/>
      <c r="Y149" s="586"/>
      <c r="Z149" s="586"/>
      <c r="AA149" s="586"/>
      <c r="AB149" s="586"/>
      <c r="AC149" s="586"/>
      <c r="AD149" s="586"/>
      <c r="AE149" s="586"/>
      <c r="AF149" s="586"/>
      <c r="AG149" s="586"/>
      <c r="AH149" s="586"/>
      <c r="AI149" s="586"/>
      <c r="AJ149" s="586"/>
      <c r="AK149" s="586"/>
      <c r="AL149" s="586"/>
      <c r="AM149" s="586"/>
      <c r="AN149" s="586"/>
      <c r="AO149" s="586"/>
      <c r="AP149" s="586"/>
      <c r="AQ149" s="586"/>
      <c r="AR149" s="586"/>
      <c r="AS149" s="586"/>
      <c r="AT149" s="586"/>
      <c r="AU149" s="586"/>
      <c r="AV149" s="586"/>
      <c r="AW149" s="586"/>
      <c r="AX149" s="586"/>
    </row>
    <row r="150">
      <c r="A150" s="172">
        <v>46139.0</v>
      </c>
      <c r="B150" s="173" t="s">
        <v>1662</v>
      </c>
      <c r="C150" s="173" t="s">
        <v>1663</v>
      </c>
      <c r="D150" s="244">
        <v>171400.0</v>
      </c>
      <c r="E150" s="34" t="s">
        <v>77</v>
      </c>
      <c r="F150" s="244">
        <v>120000.0</v>
      </c>
      <c r="G150" s="34" t="s">
        <v>880</v>
      </c>
      <c r="H150" s="34" t="s">
        <v>880</v>
      </c>
      <c r="I150" s="34" t="s">
        <v>880</v>
      </c>
      <c r="J150" s="464">
        <f t="shared" si="9"/>
        <v>171400</v>
      </c>
      <c r="K150" s="35" t="s">
        <v>880</v>
      </c>
      <c r="L150" s="387" t="s">
        <v>1666</v>
      </c>
      <c r="M150" s="34" t="s">
        <v>880</v>
      </c>
      <c r="N150" s="34" t="s">
        <v>773</v>
      </c>
      <c r="O150" s="110" t="s">
        <v>1669</v>
      </c>
      <c r="P150" s="34" t="s">
        <v>773</v>
      </c>
      <c r="Q150" s="34" t="s">
        <v>1286</v>
      </c>
      <c r="R150" s="34" t="s">
        <v>1286</v>
      </c>
      <c r="S150" s="1"/>
      <c r="T150" s="96"/>
      <c r="V150" s="586"/>
      <c r="W150" s="586"/>
      <c r="X150" s="586"/>
      <c r="Y150" s="586"/>
      <c r="Z150" s="586"/>
      <c r="AA150" s="586"/>
      <c r="AB150" s="586"/>
      <c r="AC150" s="586"/>
      <c r="AD150" s="586"/>
      <c r="AE150" s="586"/>
      <c r="AF150" s="586"/>
      <c r="AG150" s="586"/>
      <c r="AH150" s="586"/>
      <c r="AI150" s="586"/>
      <c r="AJ150" s="586"/>
      <c r="AK150" s="586"/>
      <c r="AL150" s="586"/>
      <c r="AM150" s="586"/>
      <c r="AN150" s="586"/>
      <c r="AO150" s="586"/>
      <c r="AP150" s="586"/>
      <c r="AQ150" s="586"/>
      <c r="AR150" s="586"/>
      <c r="AS150" s="586"/>
      <c r="AT150" s="586"/>
      <c r="AU150" s="586"/>
      <c r="AV150" s="586"/>
      <c r="AW150" s="586"/>
      <c r="AX150" s="586"/>
    </row>
    <row r="151">
      <c r="A151" s="717"/>
      <c r="B151" s="717"/>
      <c r="C151" s="717"/>
      <c r="D151" s="717"/>
      <c r="E151" s="717"/>
      <c r="F151" s="717"/>
      <c r="G151" s="717"/>
      <c r="H151" s="717"/>
      <c r="I151" s="717"/>
      <c r="J151" s="718">
        <f>SUM(J146:J150)</f>
        <v>940600</v>
      </c>
      <c r="K151" s="717"/>
      <c r="L151" s="717"/>
      <c r="M151" s="717"/>
      <c r="N151" s="717"/>
      <c r="O151" s="717"/>
      <c r="P151" s="717"/>
      <c r="Q151" s="717"/>
      <c r="R151" s="717"/>
      <c r="S151" s="717"/>
      <c r="T151" s="717"/>
      <c r="U151" s="717"/>
      <c r="V151" s="586"/>
      <c r="W151" s="586"/>
      <c r="X151" s="586"/>
      <c r="Y151" s="586"/>
      <c r="Z151" s="586"/>
      <c r="AA151" s="586"/>
      <c r="AB151" s="586"/>
      <c r="AC151" s="586"/>
      <c r="AD151" s="586"/>
      <c r="AE151" s="586"/>
      <c r="AF151" s="586"/>
      <c r="AG151" s="586"/>
      <c r="AH151" s="586"/>
      <c r="AI151" s="586"/>
      <c r="AJ151" s="586"/>
      <c r="AK151" s="586"/>
      <c r="AL151" s="586"/>
      <c r="AM151" s="586"/>
      <c r="AN151" s="586"/>
      <c r="AO151" s="586"/>
      <c r="AP151" s="586"/>
      <c r="AQ151" s="586"/>
      <c r="AR151" s="586"/>
      <c r="AS151" s="586"/>
      <c r="AT151" s="586"/>
      <c r="AU151" s="586"/>
      <c r="AV151" s="586"/>
      <c r="AW151" s="586"/>
      <c r="AX151" s="586"/>
    </row>
    <row r="152">
      <c r="A152" s="717"/>
      <c r="B152" s="717"/>
      <c r="C152" s="717"/>
      <c r="D152" s="717"/>
      <c r="E152" s="717"/>
      <c r="F152" s="717"/>
      <c r="G152" s="717"/>
      <c r="H152" s="717"/>
      <c r="I152" s="717"/>
      <c r="J152" s="717"/>
      <c r="K152" s="717"/>
      <c r="L152" s="717"/>
      <c r="M152" s="717"/>
      <c r="N152" s="717"/>
      <c r="O152" s="717"/>
      <c r="P152" s="717"/>
      <c r="Q152" s="717"/>
      <c r="R152" s="717"/>
      <c r="S152" s="717"/>
      <c r="T152" s="717"/>
      <c r="U152" s="717"/>
      <c r="V152" s="586"/>
      <c r="W152" s="586"/>
      <c r="X152" s="586"/>
      <c r="Y152" s="586"/>
      <c r="Z152" s="586"/>
      <c r="AA152" s="586"/>
      <c r="AB152" s="586"/>
      <c r="AC152" s="586"/>
      <c r="AD152" s="586"/>
      <c r="AE152" s="586"/>
      <c r="AF152" s="586"/>
      <c r="AG152" s="586"/>
      <c r="AH152" s="586"/>
      <c r="AI152" s="586"/>
      <c r="AJ152" s="586"/>
      <c r="AK152" s="586"/>
      <c r="AL152" s="586"/>
      <c r="AM152" s="586"/>
      <c r="AN152" s="586"/>
      <c r="AO152" s="586"/>
      <c r="AP152" s="586"/>
      <c r="AQ152" s="586"/>
      <c r="AR152" s="586"/>
      <c r="AS152" s="586"/>
      <c r="AT152" s="586"/>
      <c r="AU152" s="586"/>
      <c r="AV152" s="586"/>
      <c r="AW152" s="586"/>
      <c r="AX152" s="586"/>
    </row>
    <row r="153">
      <c r="A153" s="717"/>
      <c r="B153" s="717"/>
      <c r="C153" s="558" t="s">
        <v>1673</v>
      </c>
      <c r="D153" s="721"/>
      <c r="E153" s="721"/>
      <c r="F153" s="721"/>
      <c r="G153" s="721"/>
      <c r="H153" s="717"/>
      <c r="I153" s="717"/>
      <c r="J153" s="717"/>
      <c r="K153" s="717"/>
      <c r="L153" s="717"/>
      <c r="M153" s="717"/>
      <c r="N153" s="717"/>
      <c r="O153" s="717"/>
      <c r="P153" s="717"/>
      <c r="Q153" s="717"/>
      <c r="R153" s="717"/>
      <c r="S153" s="717"/>
      <c r="T153" s="717"/>
      <c r="U153" s="717"/>
      <c r="V153" s="586"/>
      <c r="W153" s="586"/>
      <c r="X153" s="586"/>
      <c r="Y153" s="586"/>
      <c r="Z153" s="586"/>
      <c r="AA153" s="586"/>
      <c r="AB153" s="586"/>
      <c r="AC153" s="586"/>
      <c r="AD153" s="586"/>
      <c r="AE153" s="586"/>
      <c r="AF153" s="586"/>
      <c r="AG153" s="586"/>
      <c r="AH153" s="586"/>
      <c r="AI153" s="586"/>
      <c r="AJ153" s="586"/>
      <c r="AK153" s="586"/>
      <c r="AL153" s="586"/>
      <c r="AM153" s="586"/>
      <c r="AN153" s="586"/>
      <c r="AO153" s="586"/>
      <c r="AP153" s="586"/>
      <c r="AQ153" s="586"/>
      <c r="AR153" s="586"/>
      <c r="AS153" s="586"/>
      <c r="AT153" s="586"/>
      <c r="AU153" s="586"/>
      <c r="AV153" s="586"/>
      <c r="AW153" s="586"/>
      <c r="AX153" s="586"/>
    </row>
    <row r="154">
      <c r="A154" s="717"/>
      <c r="B154" s="717"/>
      <c r="C154" s="24" t="s">
        <v>1676</v>
      </c>
      <c r="D154" s="717"/>
      <c r="E154" s="717"/>
      <c r="F154" s="717"/>
      <c r="G154" s="717"/>
      <c r="H154" s="717"/>
      <c r="I154" s="717"/>
      <c r="J154" s="717"/>
      <c r="K154" s="717"/>
      <c r="L154" s="717"/>
      <c r="M154" s="717"/>
      <c r="N154" s="717"/>
      <c r="O154" s="717"/>
      <c r="P154" s="717"/>
      <c r="Q154" s="717"/>
      <c r="R154" s="717"/>
      <c r="S154" s="717"/>
      <c r="T154" s="717"/>
      <c r="U154" s="717"/>
      <c r="V154" s="586"/>
      <c r="W154" s="586"/>
      <c r="X154" s="586"/>
      <c r="Y154" s="586"/>
      <c r="Z154" s="586"/>
      <c r="AA154" s="586"/>
      <c r="AB154" s="586"/>
      <c r="AC154" s="586"/>
      <c r="AD154" s="586"/>
      <c r="AE154" s="586"/>
      <c r="AF154" s="586"/>
      <c r="AG154" s="586"/>
      <c r="AH154" s="586"/>
      <c r="AI154" s="586"/>
      <c r="AJ154" s="586"/>
      <c r="AK154" s="586"/>
      <c r="AL154" s="586"/>
      <c r="AM154" s="586"/>
      <c r="AN154" s="586"/>
      <c r="AO154" s="586"/>
      <c r="AP154" s="586"/>
      <c r="AQ154" s="586"/>
      <c r="AR154" s="586"/>
      <c r="AS154" s="586"/>
      <c r="AT154" s="586"/>
      <c r="AU154" s="586"/>
      <c r="AV154" s="586"/>
      <c r="AW154" s="586"/>
      <c r="AX154" s="586"/>
    </row>
    <row r="155">
      <c r="A155" s="717"/>
      <c r="B155" s="717"/>
      <c r="C155" s="24" t="s">
        <v>1678</v>
      </c>
      <c r="D155" s="717"/>
      <c r="E155" s="717"/>
      <c r="F155" s="717"/>
      <c r="G155" s="717"/>
      <c r="H155" s="717"/>
      <c r="I155" s="717"/>
      <c r="J155" s="717"/>
      <c r="K155" s="717"/>
      <c r="L155" s="717"/>
      <c r="M155" s="717"/>
      <c r="N155" s="717"/>
      <c r="O155" s="717"/>
      <c r="P155" s="717"/>
      <c r="Q155" s="717"/>
      <c r="R155" s="717"/>
      <c r="S155" s="717"/>
      <c r="T155" s="717"/>
      <c r="U155" s="717"/>
      <c r="V155" s="586"/>
      <c r="W155" s="586"/>
      <c r="X155" s="586"/>
      <c r="Y155" s="586"/>
      <c r="Z155" s="586"/>
      <c r="AA155" s="586"/>
      <c r="AB155" s="586"/>
      <c r="AC155" s="586"/>
      <c r="AD155" s="586"/>
      <c r="AE155" s="586"/>
      <c r="AF155" s="586"/>
      <c r="AG155" s="586"/>
      <c r="AH155" s="586"/>
      <c r="AI155" s="586"/>
      <c r="AJ155" s="586"/>
      <c r="AK155" s="586"/>
      <c r="AL155" s="586"/>
      <c r="AM155" s="586"/>
      <c r="AN155" s="586"/>
      <c r="AO155" s="586"/>
      <c r="AP155" s="586"/>
      <c r="AQ155" s="586"/>
      <c r="AR155" s="586"/>
      <c r="AS155" s="586"/>
      <c r="AT155" s="586"/>
      <c r="AU155" s="586"/>
      <c r="AV155" s="586"/>
      <c r="AW155" s="586"/>
      <c r="AX155" s="586"/>
    </row>
    <row r="156">
      <c r="A156" s="717"/>
      <c r="B156" s="717"/>
      <c r="C156" s="717"/>
      <c r="D156" s="717"/>
      <c r="E156" s="717"/>
      <c r="F156" s="717"/>
      <c r="G156" s="717"/>
      <c r="H156" s="717"/>
      <c r="I156" s="717"/>
      <c r="J156" s="717"/>
      <c r="K156" s="717"/>
      <c r="L156" s="725"/>
      <c r="M156" s="717"/>
      <c r="N156" s="717"/>
      <c r="O156" s="717"/>
      <c r="P156" s="717"/>
      <c r="Q156" s="717"/>
      <c r="R156" s="717"/>
      <c r="S156" s="717"/>
      <c r="T156" s="717"/>
      <c r="U156" s="717"/>
      <c r="V156" s="586"/>
      <c r="W156" s="586"/>
      <c r="X156" s="586"/>
      <c r="Y156" s="586"/>
      <c r="Z156" s="586"/>
      <c r="AA156" s="586"/>
      <c r="AB156" s="586"/>
      <c r="AC156" s="586"/>
      <c r="AD156" s="586"/>
      <c r="AE156" s="586"/>
      <c r="AF156" s="586"/>
      <c r="AG156" s="586"/>
      <c r="AH156" s="586"/>
      <c r="AI156" s="586"/>
      <c r="AJ156" s="586"/>
      <c r="AK156" s="586"/>
      <c r="AL156" s="586"/>
      <c r="AM156" s="586"/>
      <c r="AN156" s="586"/>
      <c r="AO156" s="586"/>
      <c r="AP156" s="586"/>
      <c r="AQ156" s="586"/>
      <c r="AR156" s="586"/>
      <c r="AS156" s="586"/>
      <c r="AT156" s="586"/>
      <c r="AU156" s="586"/>
      <c r="AV156" s="586"/>
      <c r="AW156" s="586"/>
      <c r="AX156" s="586"/>
    </row>
    <row r="157">
      <c r="A157" s="717"/>
      <c r="B157" s="717"/>
      <c r="C157" s="717"/>
      <c r="D157" s="717"/>
      <c r="E157" s="717"/>
      <c r="F157" s="717"/>
      <c r="G157" s="717"/>
      <c r="H157" s="717"/>
      <c r="I157" s="717"/>
      <c r="J157" s="717"/>
      <c r="K157" s="717"/>
      <c r="L157" s="717"/>
      <c r="M157" s="717"/>
      <c r="N157" s="717"/>
      <c r="O157" s="717"/>
      <c r="P157" s="717"/>
      <c r="Q157" s="717"/>
      <c r="R157" s="717"/>
      <c r="S157" s="717"/>
      <c r="T157" s="717"/>
      <c r="U157" s="717"/>
      <c r="V157" s="586"/>
      <c r="W157" s="586"/>
      <c r="X157" s="586"/>
      <c r="Y157" s="586"/>
      <c r="Z157" s="586"/>
      <c r="AA157" s="586"/>
      <c r="AB157" s="586"/>
      <c r="AC157" s="586"/>
      <c r="AD157" s="586"/>
      <c r="AE157" s="586"/>
      <c r="AF157" s="586"/>
      <c r="AG157" s="586"/>
      <c r="AH157" s="586"/>
      <c r="AI157" s="586"/>
      <c r="AJ157" s="586"/>
      <c r="AK157" s="586"/>
      <c r="AL157" s="586"/>
      <c r="AM157" s="586"/>
      <c r="AN157" s="586"/>
      <c r="AO157" s="586"/>
      <c r="AP157" s="586"/>
      <c r="AQ157" s="586"/>
      <c r="AR157" s="586"/>
      <c r="AS157" s="586"/>
      <c r="AT157" s="586"/>
      <c r="AU157" s="586"/>
      <c r="AV157" s="586"/>
      <c r="AW157" s="586"/>
      <c r="AX157" s="586"/>
    </row>
    <row r="158">
      <c r="A158" s="717"/>
      <c r="B158" s="717"/>
      <c r="C158" s="717"/>
      <c r="D158" s="717"/>
      <c r="E158" s="717"/>
      <c r="F158" s="717"/>
      <c r="G158" s="717"/>
      <c r="H158" s="717"/>
      <c r="I158" s="717"/>
      <c r="J158" s="717"/>
      <c r="K158" s="717"/>
      <c r="L158" s="717"/>
      <c r="M158" s="717"/>
      <c r="N158" s="717"/>
      <c r="O158" s="717"/>
      <c r="P158" s="717"/>
      <c r="Q158" s="717"/>
      <c r="R158" s="717"/>
      <c r="S158" s="717"/>
      <c r="T158" s="717"/>
      <c r="U158" s="717"/>
      <c r="V158" s="586"/>
      <c r="W158" s="586"/>
      <c r="X158" s="586"/>
      <c r="Y158" s="586"/>
      <c r="Z158" s="586"/>
      <c r="AA158" s="586"/>
      <c r="AB158" s="586"/>
      <c r="AC158" s="586"/>
      <c r="AD158" s="586"/>
      <c r="AE158" s="586"/>
      <c r="AF158" s="586"/>
      <c r="AG158" s="586"/>
      <c r="AH158" s="586"/>
      <c r="AI158" s="586"/>
      <c r="AJ158" s="586"/>
      <c r="AK158" s="586"/>
      <c r="AL158" s="586"/>
      <c r="AM158" s="586"/>
      <c r="AN158" s="586"/>
      <c r="AO158" s="586"/>
      <c r="AP158" s="586"/>
      <c r="AQ158" s="586"/>
      <c r="AR158" s="586"/>
      <c r="AS158" s="586"/>
      <c r="AT158" s="586"/>
      <c r="AU158" s="586"/>
      <c r="AV158" s="586"/>
      <c r="AW158" s="586"/>
      <c r="AX158" s="586"/>
    </row>
    <row r="159">
      <c r="A159" s="717"/>
      <c r="B159" s="717"/>
      <c r="C159" s="717"/>
      <c r="D159" s="717"/>
      <c r="E159" s="717"/>
      <c r="F159" s="717"/>
      <c r="G159" s="717"/>
      <c r="H159" s="717"/>
      <c r="I159" s="717"/>
      <c r="J159" s="717"/>
      <c r="K159" s="717"/>
      <c r="L159" s="717"/>
      <c r="M159" s="717"/>
      <c r="N159" s="717"/>
      <c r="O159" s="717"/>
      <c r="P159" s="717"/>
      <c r="Q159" s="717"/>
      <c r="R159" s="717"/>
      <c r="S159" s="717"/>
      <c r="T159" s="717"/>
      <c r="U159" s="717"/>
      <c r="V159" s="586"/>
      <c r="W159" s="586"/>
      <c r="X159" s="586"/>
      <c r="Y159" s="586"/>
      <c r="Z159" s="586"/>
      <c r="AA159" s="586"/>
      <c r="AB159" s="586"/>
      <c r="AC159" s="586"/>
      <c r="AD159" s="586"/>
      <c r="AE159" s="586"/>
      <c r="AF159" s="586"/>
      <c r="AG159" s="586"/>
      <c r="AH159" s="586"/>
      <c r="AI159" s="586"/>
      <c r="AJ159" s="586"/>
      <c r="AK159" s="586"/>
      <c r="AL159" s="586"/>
      <c r="AM159" s="586"/>
      <c r="AN159" s="586"/>
      <c r="AO159" s="586"/>
      <c r="AP159" s="586"/>
      <c r="AQ159" s="586"/>
      <c r="AR159" s="586"/>
      <c r="AS159" s="586"/>
      <c r="AT159" s="586"/>
      <c r="AU159" s="586"/>
      <c r="AV159" s="586"/>
      <c r="AW159" s="586"/>
      <c r="AX159" s="586"/>
    </row>
    <row r="160">
      <c r="A160" s="733" t="s">
        <v>1123</v>
      </c>
      <c r="B160" s="4"/>
      <c r="C160" s="4"/>
      <c r="D160" s="4"/>
      <c r="E160" s="4"/>
      <c r="F160" s="4"/>
      <c r="G160" s="4"/>
      <c r="H160" s="4"/>
      <c r="I160" s="4"/>
      <c r="J160" s="4"/>
      <c r="K160" s="4"/>
      <c r="L160" s="4"/>
      <c r="M160" s="4"/>
      <c r="N160" s="4"/>
      <c r="O160" s="4"/>
      <c r="P160" s="4"/>
      <c r="Q160" s="4"/>
      <c r="R160" s="4"/>
      <c r="S160" s="4"/>
      <c r="T160" s="6"/>
      <c r="U160" s="717"/>
      <c r="V160" s="586"/>
      <c r="W160" s="586"/>
      <c r="X160" s="586"/>
      <c r="Y160" s="586"/>
      <c r="Z160" s="586"/>
      <c r="AA160" s="586"/>
      <c r="AB160" s="586"/>
      <c r="AC160" s="586"/>
      <c r="AD160" s="586"/>
      <c r="AE160" s="586"/>
      <c r="AF160" s="586"/>
      <c r="AG160" s="586"/>
      <c r="AH160" s="586"/>
      <c r="AI160" s="586"/>
      <c r="AJ160" s="586"/>
      <c r="AK160" s="586"/>
      <c r="AL160" s="586"/>
      <c r="AM160" s="586"/>
      <c r="AN160" s="586"/>
      <c r="AO160" s="586"/>
      <c r="AP160" s="586"/>
      <c r="AQ160" s="586"/>
      <c r="AR160" s="586"/>
      <c r="AS160" s="586"/>
      <c r="AT160" s="586"/>
      <c r="AU160" s="586"/>
      <c r="AV160" s="586"/>
      <c r="AW160" s="586"/>
      <c r="AX160" s="586"/>
    </row>
    <row r="161">
      <c r="A161" s="306" t="s">
        <v>10</v>
      </c>
      <c r="B161" s="583" t="s">
        <v>13</v>
      </c>
      <c r="C161" s="583" t="s">
        <v>11</v>
      </c>
      <c r="D161" s="584" t="s">
        <v>693</v>
      </c>
      <c r="E161" s="585" t="s">
        <v>15</v>
      </c>
      <c r="F161" s="583" t="s">
        <v>698</v>
      </c>
      <c r="G161" s="583" t="s">
        <v>911</v>
      </c>
      <c r="H161" s="583" t="s">
        <v>700</v>
      </c>
      <c r="I161" s="583" t="s">
        <v>701</v>
      </c>
      <c r="J161" s="583" t="s">
        <v>704</v>
      </c>
      <c r="K161" s="583" t="s">
        <v>706</v>
      </c>
      <c r="L161" s="583" t="s">
        <v>707</v>
      </c>
      <c r="M161" s="583" t="s">
        <v>709</v>
      </c>
      <c r="N161" s="583" t="s">
        <v>710</v>
      </c>
      <c r="O161" s="583" t="s">
        <v>711</v>
      </c>
      <c r="P161" s="583" t="s">
        <v>712</v>
      </c>
      <c r="Q161" s="583" t="s">
        <v>1494</v>
      </c>
      <c r="R161" s="583" t="s">
        <v>1495</v>
      </c>
      <c r="S161" s="583" t="s">
        <v>719</v>
      </c>
      <c r="T161" s="583" t="s">
        <v>721</v>
      </c>
      <c r="V161" s="586"/>
      <c r="W161" s="586"/>
      <c r="X161" s="586"/>
      <c r="Y161" s="586"/>
      <c r="Z161" s="586"/>
      <c r="AA161" s="586"/>
      <c r="AB161" s="586"/>
      <c r="AC161" s="586"/>
      <c r="AD161" s="586"/>
      <c r="AE161" s="586"/>
      <c r="AF161" s="586"/>
      <c r="AG161" s="586"/>
      <c r="AH161" s="586"/>
      <c r="AI161" s="586"/>
      <c r="AJ161" s="586"/>
      <c r="AK161" s="586"/>
      <c r="AL161" s="586"/>
      <c r="AM161" s="586"/>
      <c r="AN161" s="586"/>
      <c r="AO161" s="586"/>
      <c r="AP161" s="586"/>
      <c r="AQ161" s="586"/>
      <c r="AR161" s="586"/>
      <c r="AS161" s="586"/>
      <c r="AT161" s="586"/>
      <c r="AU161" s="586"/>
      <c r="AV161" s="586"/>
      <c r="AW161" s="586"/>
      <c r="AX161" s="586"/>
    </row>
    <row r="162">
      <c r="A162" s="427" t="s">
        <v>1712</v>
      </c>
      <c r="B162" s="460" t="s">
        <v>1713</v>
      </c>
      <c r="C162" s="427" t="s">
        <v>1714</v>
      </c>
      <c r="D162" s="462">
        <v>207000.0</v>
      </c>
      <c r="E162" s="427" t="s">
        <v>77</v>
      </c>
      <c r="F162" s="427" t="s">
        <v>880</v>
      </c>
      <c r="G162" s="427" t="s">
        <v>880</v>
      </c>
      <c r="H162" s="427" t="s">
        <v>880</v>
      </c>
      <c r="I162" s="427" t="s">
        <v>880</v>
      </c>
      <c r="J162" s="465">
        <f>D162</f>
        <v>207000</v>
      </c>
      <c r="K162" s="427" t="s">
        <v>880</v>
      </c>
      <c r="L162" s="468" t="s">
        <v>1719</v>
      </c>
      <c r="M162" s="427" t="s">
        <v>880</v>
      </c>
      <c r="N162" s="427" t="s">
        <v>773</v>
      </c>
      <c r="O162" s="427" t="s">
        <v>1179</v>
      </c>
      <c r="P162" s="427" t="s">
        <v>773</v>
      </c>
      <c r="Q162" s="427" t="s">
        <v>773</v>
      </c>
      <c r="R162" s="427">
        <v>10.0</v>
      </c>
      <c r="S162" s="469"/>
      <c r="T162" s="470">
        <v>46034.0</v>
      </c>
      <c r="U162" s="471" t="s">
        <v>278</v>
      </c>
      <c r="V162" s="591"/>
      <c r="W162" s="591"/>
      <c r="X162" s="591"/>
      <c r="Y162" s="591"/>
      <c r="Z162" s="591"/>
      <c r="AA162" s="591"/>
      <c r="AB162" s="591"/>
      <c r="AC162" s="591"/>
      <c r="AD162" s="591"/>
      <c r="AE162" s="591"/>
      <c r="AF162" s="591"/>
      <c r="AG162" s="591"/>
      <c r="AH162" s="591"/>
      <c r="AI162" s="591"/>
      <c r="AJ162" s="591"/>
      <c r="AK162" s="591"/>
      <c r="AL162" s="591"/>
      <c r="AM162" s="591"/>
      <c r="AN162" s="591"/>
      <c r="AO162" s="591"/>
      <c r="AP162" s="591"/>
      <c r="AQ162" s="591"/>
      <c r="AR162" s="591"/>
      <c r="AS162" s="591"/>
      <c r="AT162" s="591"/>
      <c r="AU162" s="591"/>
      <c r="AV162" s="591"/>
      <c r="AW162" s="591"/>
      <c r="AX162" s="591"/>
    </row>
    <row r="163">
      <c r="A163" s="470">
        <v>46029.0</v>
      </c>
      <c r="B163" s="427" t="s">
        <v>1729</v>
      </c>
      <c r="C163" s="427" t="s">
        <v>1730</v>
      </c>
      <c r="D163" s="462">
        <v>187400.0</v>
      </c>
      <c r="E163" s="427" t="s">
        <v>77</v>
      </c>
      <c r="F163" s="42">
        <v>92000.0</v>
      </c>
      <c r="G163" s="427" t="s">
        <v>880</v>
      </c>
      <c r="H163" s="462">
        <v>4000.0</v>
      </c>
      <c r="I163" s="427" t="s">
        <v>880</v>
      </c>
      <c r="J163" s="465">
        <f>D163+H163</f>
        <v>191400</v>
      </c>
      <c r="K163" s="468" t="s">
        <v>1734</v>
      </c>
      <c r="L163" s="468" t="s">
        <v>1737</v>
      </c>
      <c r="M163" s="427" t="s">
        <v>773</v>
      </c>
      <c r="N163" s="427" t="s">
        <v>773</v>
      </c>
      <c r="O163" s="427" t="s">
        <v>1179</v>
      </c>
      <c r="P163" s="427" t="s">
        <v>773</v>
      </c>
      <c r="Q163" s="427" t="s">
        <v>773</v>
      </c>
      <c r="R163" s="427">
        <v>10.0</v>
      </c>
      <c r="S163" s="427"/>
      <c r="T163" s="470">
        <v>46034.0</v>
      </c>
      <c r="V163" s="591"/>
      <c r="W163" s="591"/>
      <c r="X163" s="591"/>
      <c r="Y163" s="591"/>
      <c r="Z163" s="591"/>
      <c r="AA163" s="591"/>
      <c r="AB163" s="591"/>
      <c r="AC163" s="591"/>
      <c r="AD163" s="591"/>
      <c r="AE163" s="591"/>
      <c r="AF163" s="591"/>
      <c r="AG163" s="591"/>
      <c r="AH163" s="591"/>
      <c r="AI163" s="591"/>
      <c r="AJ163" s="591"/>
      <c r="AK163" s="591"/>
      <c r="AL163" s="591"/>
      <c r="AM163" s="591"/>
      <c r="AN163" s="591"/>
      <c r="AO163" s="591"/>
      <c r="AP163" s="591"/>
      <c r="AQ163" s="591"/>
      <c r="AR163" s="591"/>
      <c r="AS163" s="591"/>
      <c r="AT163" s="591"/>
      <c r="AU163" s="591"/>
      <c r="AV163" s="591"/>
      <c r="AW163" s="591"/>
      <c r="AX163" s="591"/>
    </row>
    <row r="164">
      <c r="A164" s="470">
        <v>46041.0</v>
      </c>
      <c r="B164" s="460" t="s">
        <v>583</v>
      </c>
      <c r="C164" s="460" t="s">
        <v>1740</v>
      </c>
      <c r="D164" s="739">
        <v>175000.0</v>
      </c>
      <c r="E164" s="460" t="s">
        <v>77</v>
      </c>
      <c r="F164" s="460" t="s">
        <v>880</v>
      </c>
      <c r="G164" s="460" t="s">
        <v>880</v>
      </c>
      <c r="H164" s="460" t="s">
        <v>880</v>
      </c>
      <c r="I164" s="460" t="s">
        <v>880</v>
      </c>
      <c r="J164" s="740">
        <f t="shared" ref="J164:J166" si="10">D164</f>
        <v>175000</v>
      </c>
      <c r="K164" s="460" t="s">
        <v>880</v>
      </c>
      <c r="L164" s="744" t="s">
        <v>310</v>
      </c>
      <c r="M164" s="460" t="s">
        <v>880</v>
      </c>
      <c r="N164" s="460" t="s">
        <v>773</v>
      </c>
      <c r="O164" s="460" t="s">
        <v>1179</v>
      </c>
      <c r="P164" s="460" t="s">
        <v>773</v>
      </c>
      <c r="Q164" s="460" t="s">
        <v>773</v>
      </c>
      <c r="R164" s="460" t="s">
        <v>777</v>
      </c>
      <c r="S164" s="745"/>
      <c r="T164" s="470">
        <v>46049.0</v>
      </c>
      <c r="V164" s="591"/>
      <c r="W164" s="591"/>
      <c r="X164" s="591"/>
      <c r="Y164" s="591"/>
      <c r="Z164" s="591"/>
      <c r="AA164" s="591"/>
      <c r="AB164" s="591"/>
      <c r="AC164" s="591"/>
      <c r="AD164" s="591"/>
      <c r="AE164" s="591"/>
      <c r="AF164" s="591"/>
      <c r="AG164" s="591"/>
      <c r="AH164" s="591"/>
      <c r="AI164" s="591"/>
      <c r="AJ164" s="591"/>
      <c r="AK164" s="591"/>
      <c r="AL164" s="591"/>
      <c r="AM164" s="591"/>
      <c r="AN164" s="591"/>
      <c r="AO164" s="591"/>
      <c r="AP164" s="591"/>
      <c r="AQ164" s="591"/>
      <c r="AR164" s="591"/>
      <c r="AS164" s="591"/>
      <c r="AT164" s="591"/>
      <c r="AU164" s="591"/>
      <c r="AV164" s="591"/>
      <c r="AW164" s="591"/>
      <c r="AX164" s="591"/>
    </row>
    <row r="165">
      <c r="A165" s="568">
        <v>46047.0</v>
      </c>
      <c r="B165" s="460" t="s">
        <v>1630</v>
      </c>
      <c r="C165" s="460" t="s">
        <v>1746</v>
      </c>
      <c r="D165" s="746">
        <v>207000.0</v>
      </c>
      <c r="E165" s="460" t="s">
        <v>77</v>
      </c>
      <c r="F165" s="747">
        <v>36000.0</v>
      </c>
      <c r="G165" s="460" t="s">
        <v>880</v>
      </c>
      <c r="H165" s="460" t="s">
        <v>880</v>
      </c>
      <c r="I165" s="460" t="s">
        <v>880</v>
      </c>
      <c r="J165" s="748">
        <f t="shared" si="10"/>
        <v>207000</v>
      </c>
      <c r="K165" s="460" t="s">
        <v>773</v>
      </c>
      <c r="L165" s="744" t="s">
        <v>1747</v>
      </c>
      <c r="M165" s="460" t="s">
        <v>773</v>
      </c>
      <c r="N165" s="460" t="s">
        <v>773</v>
      </c>
      <c r="O165" s="460" t="s">
        <v>1179</v>
      </c>
      <c r="P165" s="460" t="s">
        <v>773</v>
      </c>
      <c r="Q165" s="460" t="s">
        <v>773</v>
      </c>
      <c r="R165" s="460" t="s">
        <v>777</v>
      </c>
      <c r="S165" s="745"/>
      <c r="T165" s="470">
        <v>46053.0</v>
      </c>
      <c r="V165" s="586"/>
      <c r="W165" s="586"/>
      <c r="X165" s="586"/>
      <c r="Y165" s="586"/>
      <c r="Z165" s="586"/>
      <c r="AA165" s="586"/>
      <c r="AB165" s="586"/>
      <c r="AC165" s="586"/>
      <c r="AD165" s="586"/>
      <c r="AE165" s="586"/>
      <c r="AF165" s="586"/>
      <c r="AG165" s="586"/>
      <c r="AH165" s="586"/>
      <c r="AI165" s="586"/>
      <c r="AJ165" s="586"/>
      <c r="AK165" s="586"/>
      <c r="AL165" s="586"/>
      <c r="AM165" s="586"/>
      <c r="AN165" s="586"/>
      <c r="AO165" s="586"/>
      <c r="AP165" s="586"/>
      <c r="AQ165" s="586"/>
      <c r="AR165" s="586"/>
      <c r="AS165" s="586"/>
      <c r="AT165" s="586"/>
      <c r="AU165" s="586"/>
      <c r="AV165" s="586"/>
      <c r="AW165" s="586"/>
      <c r="AX165" s="586"/>
    </row>
    <row r="166">
      <c r="A166" s="165">
        <v>2.5042026E7</v>
      </c>
      <c r="B166" s="165" t="s">
        <v>1120</v>
      </c>
      <c r="C166" s="165" t="s">
        <v>1751</v>
      </c>
      <c r="D166" s="755">
        <v>242400.0</v>
      </c>
      <c r="E166" s="72" t="s">
        <v>77</v>
      </c>
      <c r="F166" s="345">
        <v>176000.0</v>
      </c>
      <c r="G166" s="72" t="s">
        <v>880</v>
      </c>
      <c r="H166" s="72" t="s">
        <v>880</v>
      </c>
      <c r="I166" s="72" t="s">
        <v>880</v>
      </c>
      <c r="J166" s="756">
        <f t="shared" si="10"/>
        <v>242400</v>
      </c>
      <c r="K166" s="72" t="s">
        <v>773</v>
      </c>
      <c r="L166" s="320" t="s">
        <v>1755</v>
      </c>
      <c r="M166" s="72" t="s">
        <v>773</v>
      </c>
      <c r="N166" s="72" t="s">
        <v>773</v>
      </c>
      <c r="O166" s="72" t="s">
        <v>1179</v>
      </c>
      <c r="P166" s="72" t="s">
        <v>773</v>
      </c>
      <c r="Q166" s="72" t="s">
        <v>1015</v>
      </c>
      <c r="R166" s="72" t="s">
        <v>777</v>
      </c>
      <c r="S166" s="140"/>
      <c r="T166" s="250">
        <v>46146.0</v>
      </c>
      <c r="U166" s="7"/>
      <c r="V166" s="586"/>
      <c r="W166" s="586"/>
      <c r="X166" s="586"/>
      <c r="Y166" s="586"/>
      <c r="Z166" s="586"/>
      <c r="AA166" s="586"/>
      <c r="AB166" s="586"/>
      <c r="AC166" s="586"/>
      <c r="AD166" s="586"/>
      <c r="AE166" s="586"/>
      <c r="AF166" s="586"/>
      <c r="AG166" s="586"/>
      <c r="AH166" s="586"/>
      <c r="AI166" s="586"/>
      <c r="AJ166" s="586"/>
      <c r="AK166" s="586"/>
      <c r="AL166" s="586"/>
      <c r="AM166" s="586"/>
      <c r="AN166" s="586"/>
      <c r="AO166" s="586"/>
      <c r="AP166" s="586"/>
      <c r="AQ166" s="586"/>
      <c r="AR166" s="586"/>
      <c r="AS166" s="586"/>
      <c r="AT166" s="586"/>
      <c r="AU166" s="586"/>
      <c r="AV166" s="586"/>
      <c r="AW166" s="586"/>
      <c r="AX166" s="586"/>
    </row>
    <row r="167">
      <c r="N167" s="7"/>
      <c r="V167" s="586"/>
      <c r="W167" s="586"/>
      <c r="X167" s="586"/>
      <c r="Y167" s="586"/>
      <c r="Z167" s="586"/>
      <c r="AA167" s="586"/>
      <c r="AB167" s="586"/>
      <c r="AC167" s="586"/>
      <c r="AD167" s="586"/>
      <c r="AE167" s="586"/>
      <c r="AF167" s="586"/>
      <c r="AG167" s="586"/>
      <c r="AH167" s="586"/>
      <c r="AI167" s="586"/>
      <c r="AJ167" s="586"/>
      <c r="AK167" s="586"/>
      <c r="AL167" s="586"/>
      <c r="AM167" s="586"/>
      <c r="AN167" s="586"/>
      <c r="AO167" s="586"/>
      <c r="AP167" s="586"/>
      <c r="AQ167" s="586"/>
      <c r="AR167" s="586"/>
      <c r="AS167" s="586"/>
      <c r="AT167" s="586"/>
      <c r="AU167" s="586"/>
      <c r="AV167" s="586"/>
      <c r="AW167" s="586"/>
      <c r="AX167" s="586"/>
    </row>
    <row r="168">
      <c r="N168" s="7"/>
      <c r="V168" s="586"/>
      <c r="W168" s="586"/>
      <c r="X168" s="586"/>
      <c r="Y168" s="586"/>
      <c r="Z168" s="586"/>
      <c r="AA168" s="586"/>
      <c r="AB168" s="586"/>
      <c r="AC168" s="586"/>
      <c r="AD168" s="586"/>
      <c r="AE168" s="586"/>
      <c r="AF168" s="586"/>
      <c r="AG168" s="586"/>
      <c r="AH168" s="586"/>
      <c r="AI168" s="586"/>
      <c r="AJ168" s="586"/>
      <c r="AK168" s="586"/>
      <c r="AL168" s="586"/>
      <c r="AM168" s="586"/>
      <c r="AN168" s="586"/>
      <c r="AO168" s="586"/>
      <c r="AP168" s="586"/>
      <c r="AQ168" s="586"/>
      <c r="AR168" s="586"/>
      <c r="AS168" s="586"/>
      <c r="AT168" s="586"/>
      <c r="AU168" s="586"/>
      <c r="AV168" s="586"/>
      <c r="AW168" s="586"/>
      <c r="AX168" s="586"/>
    </row>
    <row r="169">
      <c r="C169" s="558" t="s">
        <v>1394</v>
      </c>
      <c r="N169" s="7"/>
      <c r="V169" s="586"/>
      <c r="W169" s="586"/>
      <c r="X169" s="586"/>
      <c r="Y169" s="586"/>
      <c r="Z169" s="586"/>
      <c r="AA169" s="586"/>
      <c r="AB169" s="586"/>
      <c r="AC169" s="586"/>
      <c r="AD169" s="586"/>
      <c r="AE169" s="586"/>
      <c r="AF169" s="586"/>
      <c r="AG169" s="586"/>
      <c r="AH169" s="586"/>
      <c r="AI169" s="586"/>
      <c r="AJ169" s="586"/>
      <c r="AK169" s="586"/>
      <c r="AL169" s="586"/>
      <c r="AM169" s="586"/>
      <c r="AN169" s="586"/>
      <c r="AO169" s="586"/>
      <c r="AP169" s="586"/>
      <c r="AQ169" s="586"/>
      <c r="AR169" s="586"/>
      <c r="AS169" s="586"/>
      <c r="AT169" s="586"/>
      <c r="AU169" s="586"/>
      <c r="AV169" s="586"/>
      <c r="AW169" s="586"/>
      <c r="AX169" s="586"/>
    </row>
    <row r="170">
      <c r="C170" s="24" t="s">
        <v>1775</v>
      </c>
      <c r="N170" s="7"/>
      <c r="V170" s="586"/>
      <c r="W170" s="586"/>
      <c r="X170" s="586"/>
      <c r="Y170" s="586"/>
      <c r="Z170" s="586"/>
      <c r="AA170" s="586"/>
      <c r="AB170" s="586"/>
      <c r="AC170" s="586"/>
      <c r="AD170" s="586"/>
      <c r="AE170" s="586"/>
      <c r="AF170" s="586"/>
      <c r="AG170" s="586"/>
      <c r="AH170" s="586"/>
      <c r="AI170" s="586"/>
      <c r="AJ170" s="586"/>
      <c r="AK170" s="586"/>
      <c r="AL170" s="586"/>
      <c r="AM170" s="586"/>
      <c r="AN170" s="586"/>
      <c r="AO170" s="586"/>
      <c r="AP170" s="586"/>
      <c r="AQ170" s="586"/>
      <c r="AR170" s="586"/>
      <c r="AS170" s="586"/>
      <c r="AT170" s="586"/>
      <c r="AU170" s="586"/>
      <c r="AV170" s="586"/>
      <c r="AW170" s="586"/>
      <c r="AX170" s="586"/>
    </row>
    <row r="171">
      <c r="C171" s="219" t="s">
        <v>1779</v>
      </c>
      <c r="N171" s="7"/>
      <c r="V171" s="586"/>
      <c r="W171" s="586"/>
      <c r="X171" s="586"/>
      <c r="Y171" s="586"/>
      <c r="Z171" s="586"/>
      <c r="AA171" s="586"/>
      <c r="AB171" s="586"/>
      <c r="AC171" s="586"/>
      <c r="AD171" s="586"/>
      <c r="AE171" s="586"/>
      <c r="AF171" s="586"/>
      <c r="AG171" s="586"/>
      <c r="AH171" s="586"/>
      <c r="AI171" s="586"/>
      <c r="AJ171" s="586"/>
      <c r="AK171" s="586"/>
      <c r="AL171" s="586"/>
      <c r="AM171" s="586"/>
      <c r="AN171" s="586"/>
      <c r="AO171" s="586"/>
      <c r="AP171" s="586"/>
      <c r="AQ171" s="586"/>
      <c r="AR171" s="586"/>
      <c r="AS171" s="586"/>
      <c r="AT171" s="586"/>
      <c r="AU171" s="586"/>
      <c r="AV171" s="586"/>
      <c r="AW171" s="586"/>
      <c r="AX171" s="586"/>
    </row>
    <row r="172">
      <c r="N172" s="7"/>
      <c r="V172" s="586"/>
      <c r="W172" s="586"/>
      <c r="X172" s="586"/>
      <c r="Y172" s="586"/>
      <c r="Z172" s="586"/>
      <c r="AA172" s="586"/>
      <c r="AB172" s="586"/>
      <c r="AC172" s="586"/>
      <c r="AD172" s="586"/>
      <c r="AE172" s="586"/>
      <c r="AF172" s="586"/>
      <c r="AG172" s="586"/>
      <c r="AH172" s="586"/>
      <c r="AI172" s="586"/>
      <c r="AJ172" s="586"/>
      <c r="AK172" s="586"/>
      <c r="AL172" s="586"/>
      <c r="AM172" s="586"/>
      <c r="AN172" s="586"/>
      <c r="AO172" s="586"/>
      <c r="AP172" s="586"/>
      <c r="AQ172" s="586"/>
      <c r="AR172" s="586"/>
      <c r="AS172" s="586"/>
      <c r="AT172" s="586"/>
      <c r="AU172" s="586"/>
      <c r="AV172" s="586"/>
      <c r="AW172" s="586"/>
      <c r="AX172" s="586"/>
    </row>
    <row r="173">
      <c r="A173" s="360" t="s">
        <v>1787</v>
      </c>
      <c r="B173" s="4"/>
      <c r="C173" s="4"/>
      <c r="D173" s="4"/>
      <c r="E173" s="4"/>
      <c r="F173" s="4"/>
      <c r="G173" s="4"/>
      <c r="H173" s="4"/>
      <c r="I173" s="4"/>
      <c r="J173" s="4"/>
      <c r="K173" s="4"/>
      <c r="L173" s="4"/>
      <c r="M173" s="4"/>
      <c r="N173" s="4"/>
      <c r="O173" s="4"/>
      <c r="P173" s="4"/>
      <c r="Q173" s="4"/>
      <c r="R173" s="4"/>
      <c r="S173" s="4"/>
      <c r="T173" s="4"/>
      <c r="U173" s="763"/>
      <c r="V173" s="586"/>
      <c r="W173" s="586"/>
      <c r="X173" s="586"/>
      <c r="Y173" s="586"/>
      <c r="Z173" s="586"/>
      <c r="AA173" s="586"/>
      <c r="AB173" s="586"/>
      <c r="AC173" s="586"/>
      <c r="AD173" s="586"/>
      <c r="AE173" s="586"/>
      <c r="AF173" s="586"/>
      <c r="AG173" s="586"/>
      <c r="AH173" s="586"/>
      <c r="AI173" s="586"/>
      <c r="AJ173" s="586"/>
      <c r="AK173" s="586"/>
      <c r="AL173" s="586"/>
      <c r="AM173" s="586"/>
      <c r="AN173" s="586"/>
      <c r="AO173" s="586"/>
      <c r="AP173" s="586"/>
      <c r="AQ173" s="586"/>
      <c r="AR173" s="586"/>
      <c r="AS173" s="586"/>
      <c r="AT173" s="586"/>
      <c r="AU173" s="586"/>
      <c r="AV173" s="586"/>
      <c r="AW173" s="586"/>
      <c r="AX173" s="586"/>
    </row>
    <row r="174">
      <c r="A174" s="306" t="s">
        <v>10</v>
      </c>
      <c r="B174" s="583" t="s">
        <v>13</v>
      </c>
      <c r="C174" s="583" t="s">
        <v>11</v>
      </c>
      <c r="D174" s="584" t="s">
        <v>693</v>
      </c>
      <c r="E174" s="585" t="s">
        <v>15</v>
      </c>
      <c r="F174" s="583" t="s">
        <v>698</v>
      </c>
      <c r="G174" s="583" t="s">
        <v>911</v>
      </c>
      <c r="H174" s="583" t="s">
        <v>700</v>
      </c>
      <c r="I174" s="583" t="s">
        <v>701</v>
      </c>
      <c r="J174" s="583" t="s">
        <v>704</v>
      </c>
      <c r="K174" s="583" t="s">
        <v>706</v>
      </c>
      <c r="L174" s="583" t="s">
        <v>707</v>
      </c>
      <c r="M174" s="583" t="s">
        <v>709</v>
      </c>
      <c r="N174" s="583" t="s">
        <v>710</v>
      </c>
      <c r="O174" s="583" t="s">
        <v>711</v>
      </c>
      <c r="P174" s="583" t="s">
        <v>712</v>
      </c>
      <c r="Q174" s="583" t="s">
        <v>1494</v>
      </c>
      <c r="R174" s="583" t="s">
        <v>1495</v>
      </c>
      <c r="S174" s="583" t="s">
        <v>719</v>
      </c>
      <c r="T174" s="583" t="s">
        <v>721</v>
      </c>
      <c r="V174" s="586"/>
      <c r="W174" s="586"/>
      <c r="X174" s="586"/>
      <c r="Y174" s="586"/>
      <c r="Z174" s="586"/>
      <c r="AA174" s="586"/>
      <c r="AB174" s="586"/>
      <c r="AC174" s="586"/>
      <c r="AD174" s="586"/>
      <c r="AE174" s="586"/>
      <c r="AF174" s="586"/>
      <c r="AG174" s="586"/>
      <c r="AH174" s="586"/>
      <c r="AI174" s="586"/>
      <c r="AJ174" s="586"/>
      <c r="AK174" s="586"/>
      <c r="AL174" s="586"/>
      <c r="AM174" s="586"/>
      <c r="AN174" s="586"/>
      <c r="AO174" s="586"/>
      <c r="AP174" s="586"/>
      <c r="AQ174" s="586"/>
      <c r="AR174" s="586"/>
      <c r="AS174" s="586"/>
      <c r="AT174" s="586"/>
      <c r="AU174" s="586"/>
      <c r="AV174" s="586"/>
      <c r="AW174" s="586"/>
      <c r="AX174" s="586"/>
    </row>
    <row r="175">
      <c r="A175" s="764">
        <v>46018.0</v>
      </c>
      <c r="B175" s="427" t="s">
        <v>1811</v>
      </c>
      <c r="C175" s="427" t="s">
        <v>1812</v>
      </c>
      <c r="D175" s="427">
        <v>210000.0</v>
      </c>
      <c r="E175" s="427" t="s">
        <v>77</v>
      </c>
      <c r="F175" s="427" t="s">
        <v>880</v>
      </c>
      <c r="G175" s="427" t="s">
        <v>880</v>
      </c>
      <c r="H175" s="427" t="s">
        <v>880</v>
      </c>
      <c r="I175" s="427" t="s">
        <v>880</v>
      </c>
      <c r="J175" s="765">
        <f>D175</f>
        <v>210000</v>
      </c>
      <c r="K175" s="427" t="s">
        <v>880</v>
      </c>
      <c r="L175" s="468" t="s">
        <v>1816</v>
      </c>
      <c r="M175" s="427" t="s">
        <v>880</v>
      </c>
      <c r="N175" s="427" t="s">
        <v>777</v>
      </c>
      <c r="O175" s="427" t="s">
        <v>1821</v>
      </c>
      <c r="P175" s="427" t="s">
        <v>773</v>
      </c>
      <c r="Q175" s="427" t="s">
        <v>777</v>
      </c>
      <c r="R175" s="427" t="s">
        <v>777</v>
      </c>
      <c r="S175" s="427"/>
      <c r="T175" s="470">
        <v>46034.0</v>
      </c>
      <c r="U175" s="219" t="s">
        <v>278</v>
      </c>
      <c r="V175" s="591"/>
      <c r="W175" s="591"/>
      <c r="X175" s="591"/>
      <c r="Y175" s="591"/>
      <c r="Z175" s="591"/>
      <c r="AA175" s="591"/>
      <c r="AB175" s="591"/>
      <c r="AC175" s="591"/>
      <c r="AD175" s="591"/>
      <c r="AE175" s="591"/>
      <c r="AF175" s="591"/>
      <c r="AG175" s="591"/>
      <c r="AH175" s="591"/>
      <c r="AI175" s="591"/>
      <c r="AJ175" s="591"/>
      <c r="AK175" s="591"/>
      <c r="AL175" s="591"/>
      <c r="AM175" s="591"/>
      <c r="AN175" s="591"/>
      <c r="AO175" s="591"/>
      <c r="AP175" s="591"/>
      <c r="AQ175" s="591"/>
      <c r="AR175" s="591"/>
      <c r="AS175" s="591"/>
      <c r="AT175" s="591"/>
      <c r="AU175" s="591"/>
      <c r="AV175" s="591"/>
      <c r="AW175" s="591"/>
      <c r="AX175" s="591"/>
    </row>
    <row r="176">
      <c r="N176" s="7"/>
      <c r="V176" s="586"/>
      <c r="W176" s="586"/>
      <c r="X176" s="586"/>
      <c r="Y176" s="586"/>
      <c r="Z176" s="586"/>
      <c r="AA176" s="586"/>
      <c r="AB176" s="586"/>
      <c r="AC176" s="586"/>
      <c r="AD176" s="586"/>
      <c r="AE176" s="586"/>
      <c r="AF176" s="586"/>
      <c r="AG176" s="586"/>
      <c r="AH176" s="586"/>
      <c r="AI176" s="586"/>
      <c r="AJ176" s="586"/>
      <c r="AK176" s="586"/>
      <c r="AL176" s="586"/>
      <c r="AM176" s="586"/>
      <c r="AN176" s="586"/>
      <c r="AO176" s="586"/>
      <c r="AP176" s="586"/>
      <c r="AQ176" s="586"/>
      <c r="AR176" s="586"/>
      <c r="AS176" s="586"/>
      <c r="AT176" s="586"/>
      <c r="AU176" s="586"/>
      <c r="AV176" s="586"/>
      <c r="AW176" s="586"/>
      <c r="AX176" s="586"/>
    </row>
    <row r="177">
      <c r="C177" s="558" t="s">
        <v>1394</v>
      </c>
      <c r="N177" s="7"/>
      <c r="V177" s="586"/>
      <c r="W177" s="586"/>
      <c r="X177" s="586"/>
      <c r="Y177" s="586"/>
      <c r="Z177" s="586"/>
      <c r="AA177" s="586"/>
      <c r="AB177" s="586"/>
      <c r="AC177" s="586"/>
      <c r="AD177" s="586"/>
      <c r="AE177" s="586"/>
      <c r="AF177" s="586"/>
      <c r="AG177" s="586"/>
      <c r="AH177" s="586"/>
      <c r="AI177" s="586"/>
      <c r="AJ177" s="586"/>
      <c r="AK177" s="586"/>
      <c r="AL177" s="586"/>
      <c r="AM177" s="586"/>
      <c r="AN177" s="586"/>
      <c r="AO177" s="586"/>
      <c r="AP177" s="586"/>
      <c r="AQ177" s="586"/>
      <c r="AR177" s="586"/>
      <c r="AS177" s="586"/>
      <c r="AT177" s="586"/>
      <c r="AU177" s="586"/>
      <c r="AV177" s="586"/>
      <c r="AW177" s="586"/>
      <c r="AX177" s="586"/>
    </row>
    <row r="178">
      <c r="C178" s="24" t="s">
        <v>1823</v>
      </c>
      <c r="N178" s="7"/>
      <c r="V178" s="586"/>
      <c r="W178" s="586"/>
      <c r="X178" s="586"/>
      <c r="Y178" s="586"/>
      <c r="Z178" s="586"/>
      <c r="AA178" s="586"/>
      <c r="AB178" s="586"/>
      <c r="AC178" s="586"/>
      <c r="AD178" s="586"/>
      <c r="AE178" s="586"/>
      <c r="AF178" s="586"/>
      <c r="AG178" s="586"/>
      <c r="AH178" s="586"/>
      <c r="AI178" s="586"/>
      <c r="AJ178" s="586"/>
      <c r="AK178" s="586"/>
      <c r="AL178" s="586"/>
      <c r="AM178" s="586"/>
      <c r="AN178" s="586"/>
      <c r="AO178" s="586"/>
      <c r="AP178" s="586"/>
      <c r="AQ178" s="586"/>
      <c r="AR178" s="586"/>
      <c r="AS178" s="586"/>
      <c r="AT178" s="586"/>
      <c r="AU178" s="586"/>
      <c r="AV178" s="586"/>
      <c r="AW178" s="586"/>
      <c r="AX178" s="586"/>
    </row>
    <row r="179">
      <c r="C179" s="219" t="s">
        <v>1828</v>
      </c>
      <c r="N179" s="7"/>
      <c r="V179" s="586"/>
      <c r="W179" s="586"/>
      <c r="X179" s="586"/>
      <c r="Y179" s="586"/>
      <c r="Z179" s="586"/>
      <c r="AA179" s="586"/>
      <c r="AB179" s="586"/>
      <c r="AC179" s="586"/>
      <c r="AD179" s="586"/>
      <c r="AE179" s="586"/>
      <c r="AF179" s="586"/>
      <c r="AG179" s="586"/>
      <c r="AH179" s="586"/>
      <c r="AI179" s="586"/>
      <c r="AJ179" s="586"/>
      <c r="AK179" s="586"/>
      <c r="AL179" s="586"/>
      <c r="AM179" s="586"/>
      <c r="AN179" s="586"/>
      <c r="AO179" s="586"/>
      <c r="AP179" s="586"/>
      <c r="AQ179" s="586"/>
      <c r="AR179" s="586"/>
      <c r="AS179" s="586"/>
      <c r="AT179" s="586"/>
      <c r="AU179" s="586"/>
      <c r="AV179" s="586"/>
      <c r="AW179" s="586"/>
      <c r="AX179" s="586"/>
    </row>
    <row r="180">
      <c r="N180" s="7"/>
      <c r="V180" s="586"/>
      <c r="W180" s="586"/>
      <c r="X180" s="586"/>
      <c r="Y180" s="586"/>
      <c r="Z180" s="586"/>
      <c r="AA180" s="586"/>
      <c r="AB180" s="586"/>
      <c r="AC180" s="586"/>
      <c r="AD180" s="586"/>
      <c r="AE180" s="586"/>
      <c r="AF180" s="586"/>
      <c r="AG180" s="586"/>
      <c r="AH180" s="586"/>
      <c r="AI180" s="586"/>
      <c r="AJ180" s="586"/>
      <c r="AK180" s="586"/>
      <c r="AL180" s="586"/>
      <c r="AM180" s="586"/>
      <c r="AN180" s="586"/>
      <c r="AO180" s="586"/>
      <c r="AP180" s="586"/>
      <c r="AQ180" s="586"/>
      <c r="AR180" s="586"/>
      <c r="AS180" s="586"/>
      <c r="AT180" s="586"/>
      <c r="AU180" s="586"/>
      <c r="AV180" s="586"/>
      <c r="AW180" s="586"/>
      <c r="AX180" s="586"/>
    </row>
    <row r="181">
      <c r="B181" s="360" t="s">
        <v>1336</v>
      </c>
      <c r="C181" s="4"/>
      <c r="D181" s="4"/>
      <c r="E181" s="4"/>
      <c r="F181" s="4"/>
      <c r="G181" s="4"/>
      <c r="H181" s="4"/>
      <c r="I181" s="4"/>
      <c r="J181" s="4"/>
      <c r="K181" s="4"/>
      <c r="L181" s="4"/>
      <c r="M181" s="4"/>
      <c r="N181" s="4"/>
      <c r="O181" s="4"/>
      <c r="P181" s="4"/>
      <c r="Q181" s="4"/>
      <c r="R181" s="4"/>
      <c r="S181" s="4"/>
      <c r="T181" s="4"/>
      <c r="U181" s="768"/>
      <c r="V181" s="586"/>
      <c r="W181" s="586"/>
      <c r="X181" s="586"/>
      <c r="Y181" s="586"/>
      <c r="Z181" s="586"/>
      <c r="AA181" s="586"/>
      <c r="AB181" s="586"/>
      <c r="AC181" s="586"/>
      <c r="AD181" s="586"/>
      <c r="AE181" s="586"/>
      <c r="AF181" s="586"/>
      <c r="AG181" s="586"/>
      <c r="AH181" s="586"/>
      <c r="AI181" s="586"/>
      <c r="AJ181" s="586"/>
      <c r="AK181" s="586"/>
      <c r="AL181" s="586"/>
      <c r="AM181" s="586"/>
      <c r="AN181" s="586"/>
      <c r="AO181" s="586"/>
      <c r="AP181" s="586"/>
      <c r="AQ181" s="586"/>
      <c r="AR181" s="586"/>
      <c r="AS181" s="586"/>
      <c r="AT181" s="586"/>
      <c r="AU181" s="586"/>
      <c r="AV181" s="586"/>
      <c r="AW181" s="586"/>
      <c r="AX181" s="586"/>
    </row>
    <row r="182">
      <c r="A182" s="306" t="s">
        <v>10</v>
      </c>
      <c r="B182" s="583" t="s">
        <v>13</v>
      </c>
      <c r="C182" s="583" t="s">
        <v>11</v>
      </c>
      <c r="D182" s="584" t="s">
        <v>693</v>
      </c>
      <c r="E182" s="585" t="s">
        <v>15</v>
      </c>
      <c r="F182" s="583" t="s">
        <v>698</v>
      </c>
      <c r="G182" s="583" t="s">
        <v>911</v>
      </c>
      <c r="H182" s="583" t="s">
        <v>700</v>
      </c>
      <c r="I182" s="583" t="s">
        <v>701</v>
      </c>
      <c r="J182" s="583" t="s">
        <v>704</v>
      </c>
      <c r="K182" s="583" t="s">
        <v>706</v>
      </c>
      <c r="L182" s="583" t="s">
        <v>707</v>
      </c>
      <c r="M182" s="583" t="s">
        <v>709</v>
      </c>
      <c r="N182" s="583" t="s">
        <v>710</v>
      </c>
      <c r="O182" s="583" t="s">
        <v>711</v>
      </c>
      <c r="P182" s="583" t="s">
        <v>712</v>
      </c>
      <c r="Q182" s="583" t="s">
        <v>1494</v>
      </c>
      <c r="R182" s="583" t="s">
        <v>1495</v>
      </c>
      <c r="S182" s="583" t="s">
        <v>719</v>
      </c>
      <c r="T182" s="583" t="s">
        <v>721</v>
      </c>
      <c r="V182" s="586"/>
      <c r="W182" s="586"/>
      <c r="X182" s="586"/>
      <c r="Y182" s="586"/>
      <c r="Z182" s="586"/>
      <c r="AA182" s="586"/>
      <c r="AB182" s="586"/>
      <c r="AC182" s="586"/>
      <c r="AD182" s="586"/>
      <c r="AE182" s="586"/>
      <c r="AF182" s="586"/>
      <c r="AG182" s="586"/>
      <c r="AH182" s="586"/>
      <c r="AI182" s="586"/>
      <c r="AJ182" s="586"/>
      <c r="AK182" s="586"/>
      <c r="AL182" s="586"/>
      <c r="AM182" s="586"/>
      <c r="AN182" s="586"/>
      <c r="AO182" s="586"/>
      <c r="AP182" s="586"/>
      <c r="AQ182" s="586"/>
      <c r="AR182" s="586"/>
      <c r="AS182" s="586"/>
      <c r="AT182" s="586"/>
      <c r="AU182" s="586"/>
      <c r="AV182" s="586"/>
      <c r="AW182" s="586"/>
      <c r="AX182" s="586"/>
    </row>
    <row r="183">
      <c r="A183" s="470">
        <v>46024.0</v>
      </c>
      <c r="B183" s="427" t="s">
        <v>127</v>
      </c>
      <c r="C183" s="427" t="s">
        <v>1836</v>
      </c>
      <c r="D183" s="462">
        <v>175000.0</v>
      </c>
      <c r="E183" s="427" t="s">
        <v>77</v>
      </c>
      <c r="F183" s="427" t="s">
        <v>880</v>
      </c>
      <c r="G183" s="427" t="s">
        <v>880</v>
      </c>
      <c r="H183" s="427" t="s">
        <v>880</v>
      </c>
      <c r="I183" s="427" t="s">
        <v>880</v>
      </c>
      <c r="J183" s="465">
        <f t="shared" ref="J183:J186" si="11">D183</f>
        <v>175000</v>
      </c>
      <c r="K183" s="427" t="s">
        <v>880</v>
      </c>
      <c r="L183" s="468" t="s">
        <v>1839</v>
      </c>
      <c r="M183" s="427" t="s">
        <v>880</v>
      </c>
      <c r="N183" s="427" t="s">
        <v>773</v>
      </c>
      <c r="O183" s="427" t="s">
        <v>1179</v>
      </c>
      <c r="P183" s="427" t="s">
        <v>773</v>
      </c>
      <c r="Q183" s="427" t="s">
        <v>880</v>
      </c>
      <c r="R183" s="427" t="s">
        <v>777</v>
      </c>
      <c r="S183" s="469"/>
      <c r="T183" s="470">
        <v>46034.0</v>
      </c>
      <c r="U183" s="162" t="s">
        <v>278</v>
      </c>
      <c r="V183" s="586"/>
      <c r="W183" s="586"/>
      <c r="X183" s="586"/>
      <c r="Y183" s="586"/>
      <c r="Z183" s="586"/>
      <c r="AA183" s="586"/>
      <c r="AB183" s="782"/>
      <c r="AC183" s="784"/>
      <c r="AD183" s="784"/>
      <c r="AE183" s="784"/>
      <c r="AF183" s="784"/>
      <c r="AG183" s="784"/>
      <c r="AH183" s="784"/>
      <c r="AI183" s="784"/>
      <c r="AJ183" s="784"/>
      <c r="AK183" s="784"/>
      <c r="AL183" s="784"/>
      <c r="AM183" s="784"/>
      <c r="AN183" s="784"/>
      <c r="AO183" s="784"/>
      <c r="AP183" s="784"/>
      <c r="AQ183" s="784"/>
      <c r="AR183" s="784"/>
      <c r="AS183" s="784"/>
      <c r="AT183" s="784"/>
      <c r="AU183" s="784"/>
      <c r="AV183" s="784"/>
      <c r="AW183" s="784"/>
      <c r="AX183" s="784"/>
    </row>
    <row r="184">
      <c r="A184" s="470">
        <v>46039.0</v>
      </c>
      <c r="B184" s="427" t="s">
        <v>236</v>
      </c>
      <c r="C184" s="427" t="s">
        <v>1848</v>
      </c>
      <c r="D184" s="462">
        <v>175000.0</v>
      </c>
      <c r="E184" s="427" t="s">
        <v>77</v>
      </c>
      <c r="F184" s="427" t="s">
        <v>880</v>
      </c>
      <c r="G184" s="427" t="s">
        <v>880</v>
      </c>
      <c r="H184" s="427" t="s">
        <v>880</v>
      </c>
      <c r="I184" s="427" t="s">
        <v>880</v>
      </c>
      <c r="J184" s="465">
        <f t="shared" si="11"/>
        <v>175000</v>
      </c>
      <c r="K184" s="427" t="s">
        <v>880</v>
      </c>
      <c r="L184" s="468" t="s">
        <v>302</v>
      </c>
      <c r="M184" s="427" t="s">
        <v>880</v>
      </c>
      <c r="N184" s="427" t="s">
        <v>773</v>
      </c>
      <c r="O184" s="427" t="s">
        <v>1179</v>
      </c>
      <c r="P184" s="427" t="s">
        <v>773</v>
      </c>
      <c r="Q184" s="427" t="s">
        <v>880</v>
      </c>
      <c r="R184" s="427" t="s">
        <v>777</v>
      </c>
      <c r="S184" s="469"/>
      <c r="T184" s="786">
        <v>46049.0</v>
      </c>
      <c r="V184" s="586"/>
      <c r="W184" s="586"/>
      <c r="X184" s="586"/>
      <c r="Y184" s="586"/>
      <c r="Z184" s="586"/>
      <c r="AA184" s="586"/>
      <c r="AB184" s="586"/>
      <c r="AC184" s="586"/>
      <c r="AD184" s="586"/>
      <c r="AE184" s="586"/>
      <c r="AF184" s="586"/>
      <c r="AG184" s="586"/>
      <c r="AH184" s="586"/>
      <c r="AI184" s="586"/>
      <c r="AJ184" s="586"/>
      <c r="AK184" s="586"/>
      <c r="AL184" s="586"/>
      <c r="AM184" s="586"/>
      <c r="AN184" s="586"/>
      <c r="AO184" s="586"/>
      <c r="AP184" s="586"/>
      <c r="AQ184" s="586"/>
      <c r="AR184" s="586"/>
      <c r="AS184" s="586"/>
      <c r="AT184" s="586"/>
      <c r="AU184" s="586"/>
      <c r="AV184" s="586"/>
      <c r="AW184" s="586"/>
      <c r="AX184" s="586"/>
    </row>
    <row r="185">
      <c r="A185" s="470">
        <v>46043.0</v>
      </c>
      <c r="B185" s="427" t="s">
        <v>227</v>
      </c>
      <c r="C185" s="427" t="s">
        <v>1864</v>
      </c>
      <c r="D185" s="462">
        <v>175000.0</v>
      </c>
      <c r="E185" s="427" t="s">
        <v>77</v>
      </c>
      <c r="F185" s="427" t="s">
        <v>880</v>
      </c>
      <c r="G185" s="427" t="s">
        <v>880</v>
      </c>
      <c r="H185" s="427" t="s">
        <v>880</v>
      </c>
      <c r="I185" s="427" t="s">
        <v>880</v>
      </c>
      <c r="J185" s="465">
        <f t="shared" si="11"/>
        <v>175000</v>
      </c>
      <c r="K185" s="427" t="s">
        <v>880</v>
      </c>
      <c r="L185" s="468" t="s">
        <v>1866</v>
      </c>
      <c r="M185" s="427" t="s">
        <v>880</v>
      </c>
      <c r="N185" s="427" t="s">
        <v>773</v>
      </c>
      <c r="O185" s="427" t="s">
        <v>1179</v>
      </c>
      <c r="P185" s="427" t="s">
        <v>773</v>
      </c>
      <c r="Q185" s="427" t="s">
        <v>880</v>
      </c>
      <c r="R185" s="427" t="s">
        <v>777</v>
      </c>
      <c r="S185" s="469"/>
      <c r="T185" s="96"/>
      <c r="V185" s="586"/>
      <c r="W185" s="586"/>
      <c r="X185" s="586"/>
      <c r="Y185" s="586"/>
      <c r="Z185" s="586"/>
      <c r="AA185" s="586"/>
      <c r="AB185" s="586"/>
      <c r="AC185" s="586"/>
      <c r="AD185" s="586"/>
      <c r="AE185" s="586"/>
      <c r="AF185" s="586"/>
      <c r="AG185" s="586"/>
      <c r="AH185" s="586"/>
      <c r="AI185" s="586"/>
      <c r="AJ185" s="586"/>
      <c r="AK185" s="586"/>
      <c r="AL185" s="586"/>
      <c r="AM185" s="586"/>
      <c r="AN185" s="586"/>
      <c r="AO185" s="586"/>
      <c r="AP185" s="586"/>
      <c r="AQ185" s="586"/>
      <c r="AR185" s="586"/>
      <c r="AS185" s="586"/>
      <c r="AT185" s="586"/>
      <c r="AU185" s="586"/>
      <c r="AV185" s="586"/>
      <c r="AW185" s="586"/>
      <c r="AX185" s="586"/>
    </row>
    <row r="186">
      <c r="A186" s="481">
        <v>46070.0</v>
      </c>
      <c r="B186" s="482" t="s">
        <v>1873</v>
      </c>
      <c r="C186" s="482" t="s">
        <v>1874</v>
      </c>
      <c r="D186" s="483">
        <v>185000.0</v>
      </c>
      <c r="E186" s="482" t="s">
        <v>77</v>
      </c>
      <c r="F186" s="482" t="s">
        <v>880</v>
      </c>
      <c r="G186" s="482" t="s">
        <v>880</v>
      </c>
      <c r="H186" s="482" t="s">
        <v>880</v>
      </c>
      <c r="I186" s="482" t="s">
        <v>880</v>
      </c>
      <c r="J186" s="464">
        <f t="shared" si="11"/>
        <v>185000</v>
      </c>
      <c r="K186" s="482" t="s">
        <v>880</v>
      </c>
      <c r="L186" s="791" t="s">
        <v>1878</v>
      </c>
      <c r="M186" s="482" t="s">
        <v>880</v>
      </c>
      <c r="N186" s="482" t="s">
        <v>773</v>
      </c>
      <c r="O186" s="482" t="s">
        <v>1179</v>
      </c>
      <c r="P186" s="482" t="s">
        <v>773</v>
      </c>
      <c r="Q186" s="482" t="s">
        <v>773</v>
      </c>
      <c r="R186" s="482" t="s">
        <v>777</v>
      </c>
      <c r="S186" s="486"/>
      <c r="T186" s="481">
        <v>46078.0</v>
      </c>
      <c r="U186" s="162" t="s">
        <v>1887</v>
      </c>
      <c r="V186" s="793"/>
      <c r="W186" s="793"/>
      <c r="X186" s="793"/>
      <c r="Y186" s="793"/>
      <c r="Z186" s="793"/>
      <c r="AA186" s="793"/>
      <c r="AB186" s="793"/>
      <c r="AC186" s="793"/>
      <c r="AD186" s="793"/>
      <c r="AE186" s="793"/>
      <c r="AF186" s="793"/>
      <c r="AG186" s="793"/>
      <c r="AH186" s="793"/>
      <c r="AI186" s="793"/>
      <c r="AJ186" s="793"/>
      <c r="AK186" s="793"/>
      <c r="AL186" s="793"/>
      <c r="AM186" s="793"/>
      <c r="AN186" s="793"/>
      <c r="AO186" s="793"/>
      <c r="AP186" s="793"/>
      <c r="AQ186" s="793"/>
      <c r="AR186" s="793"/>
      <c r="AS186" s="793"/>
      <c r="AT186" s="793"/>
      <c r="AU186" s="793"/>
      <c r="AV186" s="793"/>
      <c r="AW186" s="793"/>
      <c r="AX186" s="793"/>
    </row>
    <row r="187">
      <c r="A187" s="481">
        <v>46074.0</v>
      </c>
      <c r="B187" s="482" t="s">
        <v>74</v>
      </c>
      <c r="C187" s="482" t="s">
        <v>1890</v>
      </c>
      <c r="D187" s="483">
        <v>175000.0</v>
      </c>
      <c r="E187" s="482" t="s">
        <v>77</v>
      </c>
      <c r="F187" s="482" t="s">
        <v>880</v>
      </c>
      <c r="G187" s="482" t="s">
        <v>880</v>
      </c>
      <c r="H187" s="482" t="s">
        <v>880</v>
      </c>
      <c r="I187" s="482" t="s">
        <v>880</v>
      </c>
      <c r="J187" s="464">
        <v>175000.0</v>
      </c>
      <c r="K187" s="482" t="s">
        <v>880</v>
      </c>
      <c r="L187" s="484" t="s">
        <v>1894</v>
      </c>
      <c r="M187" s="482" t="s">
        <v>880</v>
      </c>
      <c r="N187" s="482" t="s">
        <v>773</v>
      </c>
      <c r="O187" s="482" t="s">
        <v>1179</v>
      </c>
      <c r="P187" s="482" t="s">
        <v>773</v>
      </c>
      <c r="Q187" s="482" t="s">
        <v>773</v>
      </c>
      <c r="R187" s="482" t="s">
        <v>777</v>
      </c>
      <c r="S187" s="486"/>
      <c r="T187" s="481">
        <v>46081.0</v>
      </c>
      <c r="V187" s="586"/>
      <c r="W187" s="586"/>
      <c r="X187" s="586"/>
      <c r="Y187" s="586"/>
      <c r="Z187" s="586"/>
      <c r="AA187" s="586"/>
      <c r="AB187" s="586"/>
      <c r="AC187" s="586"/>
      <c r="AD187" s="586"/>
      <c r="AE187" s="586"/>
      <c r="AF187" s="586"/>
      <c r="AG187" s="586"/>
      <c r="AH187" s="586"/>
      <c r="AI187" s="586"/>
      <c r="AJ187" s="586"/>
      <c r="AK187" s="586"/>
      <c r="AL187" s="586"/>
      <c r="AM187" s="586"/>
      <c r="AN187" s="586"/>
      <c r="AO187" s="586"/>
      <c r="AP187" s="586"/>
      <c r="AQ187" s="586"/>
      <c r="AR187" s="586"/>
      <c r="AS187" s="586"/>
      <c r="AT187" s="586"/>
      <c r="AU187" s="586"/>
      <c r="AV187" s="586"/>
      <c r="AW187" s="586"/>
      <c r="AX187" s="586"/>
    </row>
    <row r="188">
      <c r="A188" s="481">
        <v>46077.0</v>
      </c>
      <c r="B188" s="482" t="s">
        <v>1899</v>
      </c>
      <c r="C188" s="482" t="s">
        <v>1901</v>
      </c>
      <c r="D188" s="483">
        <v>185000.0</v>
      </c>
      <c r="E188" s="482" t="s">
        <v>77</v>
      </c>
      <c r="F188" s="482" t="s">
        <v>880</v>
      </c>
      <c r="G188" s="482" t="s">
        <v>880</v>
      </c>
      <c r="H188" s="482" t="s">
        <v>880</v>
      </c>
      <c r="I188" s="482" t="s">
        <v>880</v>
      </c>
      <c r="J188" s="464">
        <v>185000.0</v>
      </c>
      <c r="K188" s="482" t="s">
        <v>880</v>
      </c>
      <c r="L188" s="798" t="s">
        <v>1902</v>
      </c>
      <c r="M188" s="482" t="s">
        <v>880</v>
      </c>
      <c r="N188" s="482" t="s">
        <v>773</v>
      </c>
      <c r="O188" s="482" t="s">
        <v>1179</v>
      </c>
      <c r="P188" s="482" t="s">
        <v>773</v>
      </c>
      <c r="Q188" s="482" t="s">
        <v>773</v>
      </c>
      <c r="R188" s="482" t="s">
        <v>777</v>
      </c>
      <c r="S188" s="486"/>
      <c r="T188" s="481">
        <v>46081.0</v>
      </c>
      <c r="V188" s="586"/>
      <c r="W188" s="586"/>
      <c r="X188" s="586"/>
      <c r="Y188" s="586"/>
      <c r="Z188" s="586"/>
      <c r="AA188" s="586"/>
      <c r="AB188" s="586"/>
      <c r="AC188" s="586"/>
      <c r="AD188" s="586"/>
      <c r="AE188" s="586"/>
      <c r="AF188" s="586"/>
      <c r="AG188" s="586"/>
      <c r="AH188" s="586"/>
      <c r="AI188" s="586"/>
      <c r="AJ188" s="586"/>
      <c r="AK188" s="586"/>
      <c r="AL188" s="586"/>
      <c r="AM188" s="586"/>
      <c r="AN188" s="586"/>
      <c r="AO188" s="586"/>
      <c r="AP188" s="586"/>
      <c r="AQ188" s="586"/>
      <c r="AR188" s="586"/>
      <c r="AS188" s="586"/>
      <c r="AT188" s="586"/>
      <c r="AU188" s="586"/>
      <c r="AV188" s="586"/>
      <c r="AW188" s="586"/>
      <c r="AX188" s="586"/>
    </row>
    <row r="189">
      <c r="A189" s="481">
        <v>46080.0</v>
      </c>
      <c r="B189" s="482" t="s">
        <v>1904</v>
      </c>
      <c r="C189" s="482" t="s">
        <v>1905</v>
      </c>
      <c r="D189" s="483">
        <v>175000.0</v>
      </c>
      <c r="E189" s="482" t="s">
        <v>77</v>
      </c>
      <c r="F189" s="482" t="s">
        <v>880</v>
      </c>
      <c r="G189" s="482" t="s">
        <v>880</v>
      </c>
      <c r="H189" s="482" t="s">
        <v>880</v>
      </c>
      <c r="I189" s="482" t="s">
        <v>880</v>
      </c>
      <c r="J189" s="464">
        <v>175000.0</v>
      </c>
      <c r="K189" s="482" t="s">
        <v>880</v>
      </c>
      <c r="L189" s="798" t="s">
        <v>1906</v>
      </c>
      <c r="M189" s="482" t="s">
        <v>880</v>
      </c>
      <c r="N189" s="482" t="s">
        <v>773</v>
      </c>
      <c r="O189" s="482" t="s">
        <v>1179</v>
      </c>
      <c r="P189" s="482" t="s">
        <v>773</v>
      </c>
      <c r="Q189" s="482" t="s">
        <v>773</v>
      </c>
      <c r="R189" s="482" t="s">
        <v>777</v>
      </c>
      <c r="S189" s="486"/>
      <c r="T189" s="481">
        <v>46081.0</v>
      </c>
      <c r="V189" s="586"/>
      <c r="W189" s="586"/>
      <c r="X189" s="586"/>
      <c r="Y189" s="586"/>
      <c r="Z189" s="586"/>
      <c r="AA189" s="586"/>
      <c r="AB189" s="586"/>
      <c r="AC189" s="586"/>
      <c r="AD189" s="586"/>
      <c r="AE189" s="586"/>
      <c r="AF189" s="586"/>
      <c r="AG189" s="586"/>
      <c r="AH189" s="586"/>
      <c r="AI189" s="586"/>
      <c r="AJ189" s="586"/>
      <c r="AK189" s="586"/>
      <c r="AL189" s="586"/>
      <c r="AM189" s="586"/>
      <c r="AN189" s="586"/>
      <c r="AO189" s="586"/>
      <c r="AP189" s="586"/>
      <c r="AQ189" s="586"/>
      <c r="AR189" s="586"/>
      <c r="AS189" s="586"/>
      <c r="AT189" s="586"/>
      <c r="AU189" s="586"/>
      <c r="AV189" s="586"/>
      <c r="AW189" s="586"/>
      <c r="AX189" s="586"/>
    </row>
    <row r="190">
      <c r="A190" s="804">
        <v>46089.0</v>
      </c>
      <c r="B190" s="806" t="s">
        <v>610</v>
      </c>
      <c r="C190" s="806" t="s">
        <v>1911</v>
      </c>
      <c r="D190" s="807">
        <v>175000.0</v>
      </c>
      <c r="E190" s="806" t="s">
        <v>77</v>
      </c>
      <c r="F190" s="806" t="s">
        <v>880</v>
      </c>
      <c r="G190" s="806" t="s">
        <v>880</v>
      </c>
      <c r="H190" s="806" t="s">
        <v>880</v>
      </c>
      <c r="I190" s="806" t="s">
        <v>880</v>
      </c>
      <c r="J190" s="464">
        <f t="shared" ref="J190:J193" si="12">D190</f>
        <v>175000</v>
      </c>
      <c r="K190" s="806" t="s">
        <v>880</v>
      </c>
      <c r="L190" s="810" t="s">
        <v>1917</v>
      </c>
      <c r="M190" s="806" t="s">
        <v>880</v>
      </c>
      <c r="N190" s="806" t="s">
        <v>773</v>
      </c>
      <c r="O190" s="806" t="s">
        <v>1486</v>
      </c>
      <c r="P190" s="806" t="s">
        <v>773</v>
      </c>
      <c r="Q190" s="806" t="s">
        <v>773</v>
      </c>
      <c r="R190" s="806" t="s">
        <v>777</v>
      </c>
      <c r="S190" s="814"/>
      <c r="T190" s="804">
        <v>46091.0</v>
      </c>
      <c r="U190" s="162" t="s">
        <v>1926</v>
      </c>
      <c r="V190" s="586"/>
      <c r="W190" s="586"/>
      <c r="X190" s="586"/>
      <c r="Y190" s="586"/>
      <c r="Z190" s="586"/>
      <c r="AA190" s="586"/>
      <c r="AB190" s="586"/>
      <c r="AC190" s="586"/>
      <c r="AD190" s="586"/>
      <c r="AE190" s="586"/>
      <c r="AF190" s="586"/>
      <c r="AG190" s="586"/>
      <c r="AH190" s="586"/>
      <c r="AI190" s="586"/>
      <c r="AJ190" s="586"/>
      <c r="AK190" s="586"/>
      <c r="AL190" s="586"/>
      <c r="AM190" s="586"/>
      <c r="AN190" s="586"/>
      <c r="AO190" s="586"/>
      <c r="AP190" s="586"/>
      <c r="AQ190" s="586"/>
      <c r="AR190" s="586"/>
      <c r="AS190" s="586"/>
      <c r="AT190" s="586"/>
      <c r="AU190" s="586"/>
      <c r="AV190" s="586"/>
      <c r="AW190" s="586"/>
      <c r="AX190" s="586"/>
    </row>
    <row r="191">
      <c r="A191" s="804">
        <v>46098.0</v>
      </c>
      <c r="B191" s="806" t="s">
        <v>1932</v>
      </c>
      <c r="C191" s="806" t="s">
        <v>1933</v>
      </c>
      <c r="D191" s="807">
        <v>175000.0</v>
      </c>
      <c r="E191" s="806" t="s">
        <v>77</v>
      </c>
      <c r="F191" s="806" t="s">
        <v>880</v>
      </c>
      <c r="G191" s="806" t="s">
        <v>880</v>
      </c>
      <c r="H191" s="806" t="s">
        <v>880</v>
      </c>
      <c r="I191" s="806" t="s">
        <v>880</v>
      </c>
      <c r="J191" s="464">
        <f t="shared" si="12"/>
        <v>175000</v>
      </c>
      <c r="K191" s="806" t="s">
        <v>880</v>
      </c>
      <c r="L191" s="810" t="s">
        <v>1937</v>
      </c>
      <c r="M191" s="806" t="s">
        <v>880</v>
      </c>
      <c r="N191" s="806" t="s">
        <v>773</v>
      </c>
      <c r="O191" s="806" t="s">
        <v>1179</v>
      </c>
      <c r="P191" s="806" t="s">
        <v>773</v>
      </c>
      <c r="Q191" s="806" t="s">
        <v>773</v>
      </c>
      <c r="R191" s="806" t="s">
        <v>777</v>
      </c>
      <c r="S191" s="814"/>
      <c r="T191" s="804">
        <v>46105.0</v>
      </c>
      <c r="V191" s="586"/>
      <c r="W191" s="586"/>
      <c r="X191" s="586"/>
      <c r="Y191" s="586"/>
      <c r="Z191" s="586"/>
      <c r="AA191" s="586"/>
      <c r="AB191" s="586"/>
      <c r="AC191" s="586"/>
      <c r="AD191" s="586"/>
      <c r="AE191" s="586"/>
      <c r="AF191" s="586"/>
      <c r="AG191" s="586"/>
      <c r="AH191" s="586"/>
      <c r="AI191" s="586"/>
      <c r="AJ191" s="586"/>
      <c r="AK191" s="586"/>
      <c r="AL191" s="586"/>
      <c r="AM191" s="586"/>
      <c r="AN191" s="586"/>
      <c r="AO191" s="586"/>
      <c r="AP191" s="586"/>
      <c r="AQ191" s="586"/>
      <c r="AR191" s="586"/>
      <c r="AS191" s="586"/>
      <c r="AT191" s="586"/>
      <c r="AU191" s="586"/>
      <c r="AV191" s="586"/>
      <c r="AW191" s="586"/>
      <c r="AX191" s="586"/>
    </row>
    <row r="192">
      <c r="A192" s="804">
        <v>46100.0</v>
      </c>
      <c r="B192" s="806" t="s">
        <v>1940</v>
      </c>
      <c r="C192" s="806" t="s">
        <v>1941</v>
      </c>
      <c r="D192" s="807">
        <v>150000.0</v>
      </c>
      <c r="E192" s="806" t="s">
        <v>77</v>
      </c>
      <c r="F192" s="464">
        <v>48000.0</v>
      </c>
      <c r="G192" s="806" t="s">
        <v>880</v>
      </c>
      <c r="H192" s="806" t="s">
        <v>880</v>
      </c>
      <c r="I192" s="806" t="s">
        <v>880</v>
      </c>
      <c r="J192" s="464">
        <f t="shared" si="12"/>
        <v>150000</v>
      </c>
      <c r="K192" s="806" t="s">
        <v>880</v>
      </c>
      <c r="L192" s="810" t="s">
        <v>1944</v>
      </c>
      <c r="M192" s="806" t="s">
        <v>880</v>
      </c>
      <c r="N192" s="806" t="s">
        <v>773</v>
      </c>
      <c r="O192" s="806" t="s">
        <v>1179</v>
      </c>
      <c r="P192" s="806" t="s">
        <v>773</v>
      </c>
      <c r="Q192" s="806" t="s">
        <v>773</v>
      </c>
      <c r="R192" s="806">
        <v>8.0</v>
      </c>
      <c r="S192" s="806" t="s">
        <v>1947</v>
      </c>
      <c r="T192" s="804">
        <v>46105.0</v>
      </c>
      <c r="V192" s="586"/>
      <c r="W192" s="586"/>
      <c r="X192" s="586"/>
      <c r="Y192" s="586"/>
      <c r="Z192" s="586"/>
      <c r="AA192" s="586"/>
      <c r="AB192" s="586"/>
      <c r="AC192" s="586"/>
      <c r="AD192" s="586"/>
      <c r="AE192" s="586"/>
      <c r="AF192" s="586"/>
      <c r="AG192" s="586"/>
      <c r="AH192" s="586"/>
      <c r="AI192" s="586"/>
      <c r="AJ192" s="586"/>
      <c r="AK192" s="586"/>
      <c r="AL192" s="586"/>
      <c r="AM192" s="586"/>
      <c r="AN192" s="586"/>
      <c r="AO192" s="586"/>
      <c r="AP192" s="586"/>
      <c r="AQ192" s="586"/>
      <c r="AR192" s="586"/>
      <c r="AS192" s="586"/>
      <c r="AT192" s="586"/>
      <c r="AU192" s="586"/>
      <c r="AV192" s="586"/>
      <c r="AW192" s="586"/>
      <c r="AX192" s="586"/>
    </row>
    <row r="193">
      <c r="A193" s="822">
        <v>46107.0</v>
      </c>
      <c r="B193" s="823" t="s">
        <v>1949</v>
      </c>
      <c r="C193" s="823" t="s">
        <v>1950</v>
      </c>
      <c r="D193" s="807">
        <v>175000.0</v>
      </c>
      <c r="E193" s="806" t="s">
        <v>77</v>
      </c>
      <c r="F193" s="806" t="s">
        <v>880</v>
      </c>
      <c r="G193" s="806" t="s">
        <v>880</v>
      </c>
      <c r="H193" s="806" t="s">
        <v>880</v>
      </c>
      <c r="I193" s="806" t="s">
        <v>880</v>
      </c>
      <c r="J193" s="464">
        <f t="shared" si="12"/>
        <v>175000</v>
      </c>
      <c r="K193" s="806" t="s">
        <v>880</v>
      </c>
      <c r="L193" s="825" t="s">
        <v>1951</v>
      </c>
      <c r="M193" s="806" t="s">
        <v>880</v>
      </c>
      <c r="N193" s="806" t="s">
        <v>773</v>
      </c>
      <c r="O193" s="806" t="s">
        <v>1179</v>
      </c>
      <c r="P193" s="806" t="s">
        <v>773</v>
      </c>
      <c r="Q193" s="806" t="s">
        <v>773</v>
      </c>
      <c r="R193" s="806" t="s">
        <v>777</v>
      </c>
      <c r="S193" s="823" t="s">
        <v>1953</v>
      </c>
      <c r="T193" s="826">
        <v>46110.0</v>
      </c>
      <c r="V193" s="586"/>
      <c r="W193" s="586"/>
      <c r="X193" s="586"/>
      <c r="Y193" s="586"/>
      <c r="Z193" s="586"/>
      <c r="AA193" s="586"/>
      <c r="AB193" s="586"/>
      <c r="AC193" s="586"/>
      <c r="AD193" s="586"/>
      <c r="AE193" s="586"/>
      <c r="AF193" s="586"/>
      <c r="AG193" s="586"/>
      <c r="AH193" s="586"/>
      <c r="AI193" s="586"/>
      <c r="AJ193" s="586"/>
      <c r="AK193" s="586"/>
      <c r="AL193" s="586"/>
      <c r="AM193" s="586"/>
      <c r="AN193" s="586"/>
      <c r="AO193" s="586"/>
      <c r="AP193" s="586"/>
      <c r="AQ193" s="586"/>
      <c r="AR193" s="586"/>
      <c r="AS193" s="586"/>
      <c r="AT193" s="586"/>
      <c r="AU193" s="586"/>
      <c r="AV193" s="586"/>
      <c r="AW193" s="586"/>
      <c r="AX193" s="586"/>
    </row>
    <row r="194">
      <c r="A194" s="172">
        <v>46112.0</v>
      </c>
      <c r="B194" s="173" t="s">
        <v>605</v>
      </c>
      <c r="C194" s="173" t="s">
        <v>1954</v>
      </c>
      <c r="D194" s="167">
        <v>197000.0</v>
      </c>
      <c r="E194" s="34" t="s">
        <v>77</v>
      </c>
      <c r="F194" s="34" t="s">
        <v>880</v>
      </c>
      <c r="G194" s="34" t="s">
        <v>880</v>
      </c>
      <c r="H194" s="34" t="s">
        <v>880</v>
      </c>
      <c r="I194" s="34" t="s">
        <v>880</v>
      </c>
      <c r="J194" s="464">
        <v>197000.0</v>
      </c>
      <c r="K194" s="1"/>
      <c r="L194" s="387" t="s">
        <v>1955</v>
      </c>
      <c r="M194" s="34" t="s">
        <v>880</v>
      </c>
      <c r="N194" s="34" t="s">
        <v>773</v>
      </c>
      <c r="O194" s="34" t="s">
        <v>1179</v>
      </c>
      <c r="P194" s="34" t="s">
        <v>773</v>
      </c>
      <c r="Q194" s="34" t="s">
        <v>773</v>
      </c>
      <c r="R194" s="34" t="s">
        <v>777</v>
      </c>
      <c r="S194" s="1"/>
      <c r="T194" s="109">
        <v>46119.0</v>
      </c>
      <c r="U194" s="83" t="s">
        <v>1957</v>
      </c>
      <c r="V194" s="586"/>
      <c r="W194" s="586"/>
      <c r="X194" s="586"/>
      <c r="Y194" s="586"/>
      <c r="Z194" s="586"/>
      <c r="AA194" s="586"/>
      <c r="AB194" s="586"/>
      <c r="AC194" s="586"/>
      <c r="AD194" s="586"/>
      <c r="AE194" s="586"/>
      <c r="AF194" s="586"/>
      <c r="AG194" s="586"/>
      <c r="AH194" s="586"/>
      <c r="AI194" s="586"/>
      <c r="AJ194" s="586"/>
      <c r="AK194" s="586"/>
      <c r="AL194" s="586"/>
      <c r="AM194" s="586"/>
      <c r="AN194" s="586"/>
      <c r="AO194" s="586"/>
      <c r="AP194" s="586"/>
      <c r="AQ194" s="586"/>
      <c r="AR194" s="586"/>
      <c r="AS194" s="586"/>
      <c r="AT194" s="586"/>
      <c r="AU194" s="586"/>
      <c r="AV194" s="586"/>
      <c r="AW194" s="586"/>
      <c r="AX194" s="586"/>
    </row>
    <row r="195">
      <c r="A195" s="687">
        <v>46126.0</v>
      </c>
      <c r="B195" s="315" t="s">
        <v>552</v>
      </c>
      <c r="C195" s="315" t="s">
        <v>1962</v>
      </c>
      <c r="D195" s="107">
        <v>175000.0</v>
      </c>
      <c r="E195" s="35" t="s">
        <v>77</v>
      </c>
      <c r="F195" s="35" t="s">
        <v>880</v>
      </c>
      <c r="G195" s="35" t="s">
        <v>880</v>
      </c>
      <c r="H195" s="35" t="s">
        <v>880</v>
      </c>
      <c r="I195" s="35" t="s">
        <v>880</v>
      </c>
      <c r="J195" s="464">
        <f>D195</f>
        <v>175000</v>
      </c>
      <c r="K195" s="35" t="s">
        <v>880</v>
      </c>
      <c r="L195" s="346" t="s">
        <v>1966</v>
      </c>
      <c r="M195" s="35" t="s">
        <v>880</v>
      </c>
      <c r="N195" s="35" t="s">
        <v>773</v>
      </c>
      <c r="O195" s="35" t="s">
        <v>1179</v>
      </c>
      <c r="P195" s="35" t="s">
        <v>773</v>
      </c>
      <c r="Q195" s="35" t="s">
        <v>773</v>
      </c>
      <c r="R195" s="35">
        <v>10.0</v>
      </c>
      <c r="S195" s="70"/>
      <c r="T195" s="250">
        <v>46132.0</v>
      </c>
      <c r="U195" s="96"/>
      <c r="V195" s="586"/>
      <c r="W195" s="586"/>
      <c r="X195" s="586"/>
      <c r="Y195" s="586"/>
      <c r="Z195" s="586"/>
      <c r="AA195" s="586"/>
      <c r="AB195" s="586"/>
      <c r="AC195" s="586"/>
      <c r="AD195" s="586"/>
      <c r="AE195" s="586"/>
      <c r="AF195" s="586"/>
      <c r="AG195" s="586"/>
      <c r="AH195" s="586"/>
      <c r="AI195" s="586"/>
      <c r="AJ195" s="586"/>
      <c r="AK195" s="586"/>
      <c r="AL195" s="586"/>
      <c r="AM195" s="586"/>
      <c r="AN195" s="586"/>
      <c r="AO195" s="586"/>
      <c r="AP195" s="586"/>
      <c r="AQ195" s="586"/>
      <c r="AR195" s="586"/>
      <c r="AS195" s="586"/>
      <c r="AT195" s="586"/>
      <c r="AU195" s="586"/>
      <c r="AV195" s="586"/>
      <c r="AW195" s="586"/>
      <c r="AX195" s="586"/>
    </row>
    <row r="196">
      <c r="N196" s="7"/>
      <c r="V196" s="586"/>
      <c r="W196" s="586"/>
      <c r="X196" s="586"/>
      <c r="Y196" s="586"/>
      <c r="Z196" s="586"/>
      <c r="AA196" s="586"/>
      <c r="AB196" s="586"/>
      <c r="AC196" s="586"/>
      <c r="AD196" s="586"/>
      <c r="AE196" s="586"/>
      <c r="AF196" s="586"/>
      <c r="AG196" s="586"/>
      <c r="AH196" s="586"/>
      <c r="AI196" s="586"/>
      <c r="AJ196" s="586"/>
      <c r="AK196" s="586"/>
      <c r="AL196" s="586"/>
      <c r="AM196" s="586"/>
      <c r="AN196" s="586"/>
      <c r="AO196" s="586"/>
      <c r="AP196" s="586"/>
      <c r="AQ196" s="586"/>
      <c r="AR196" s="586"/>
      <c r="AS196" s="586"/>
      <c r="AT196" s="586"/>
      <c r="AU196" s="586"/>
      <c r="AV196" s="586"/>
      <c r="AW196" s="586"/>
      <c r="AX196" s="586"/>
    </row>
    <row r="197">
      <c r="A197" s="7"/>
      <c r="B197" s="569"/>
      <c r="C197" s="558" t="s">
        <v>1394</v>
      </c>
      <c r="D197" s="569"/>
      <c r="E197" s="569"/>
      <c r="F197" s="569"/>
      <c r="G197" s="569"/>
      <c r="H197" s="569"/>
      <c r="I197" s="569"/>
      <c r="J197" s="569"/>
      <c r="K197" s="569"/>
      <c r="L197" s="569"/>
      <c r="M197" s="569"/>
      <c r="N197" s="569"/>
      <c r="O197" s="569"/>
      <c r="P197" s="569"/>
      <c r="Q197" s="569"/>
      <c r="R197" s="569"/>
      <c r="S197" s="569"/>
      <c r="T197" s="569"/>
      <c r="U197" s="569"/>
      <c r="V197" s="586"/>
      <c r="W197" s="586"/>
      <c r="X197" s="586"/>
      <c r="Y197" s="586"/>
      <c r="Z197" s="586"/>
      <c r="AA197" s="586"/>
      <c r="AB197" s="586"/>
      <c r="AC197" s="586"/>
      <c r="AD197" s="586"/>
      <c r="AE197" s="586"/>
      <c r="AF197" s="586"/>
      <c r="AG197" s="586"/>
      <c r="AH197" s="586"/>
      <c r="AI197" s="586"/>
      <c r="AJ197" s="586"/>
      <c r="AK197" s="586"/>
      <c r="AL197" s="586"/>
      <c r="AM197" s="586"/>
      <c r="AN197" s="586"/>
      <c r="AO197" s="586"/>
      <c r="AP197" s="586"/>
      <c r="AQ197" s="586"/>
      <c r="AR197" s="586"/>
      <c r="AS197" s="586"/>
      <c r="AT197" s="586"/>
      <c r="AU197" s="586"/>
      <c r="AV197" s="586"/>
      <c r="AW197" s="586"/>
      <c r="AX197" s="586"/>
    </row>
    <row r="198">
      <c r="A198" s="7"/>
      <c r="B198" s="569"/>
      <c r="C198" s="24" t="s">
        <v>1972</v>
      </c>
      <c r="D198" s="569"/>
      <c r="E198" s="569"/>
      <c r="F198" s="569"/>
      <c r="G198" s="569"/>
      <c r="H198" s="569"/>
      <c r="I198" s="569"/>
      <c r="J198" s="569"/>
      <c r="K198" s="569"/>
      <c r="L198" s="569"/>
      <c r="M198" s="569"/>
      <c r="N198" s="569"/>
      <c r="O198" s="569"/>
      <c r="P198" s="569"/>
      <c r="Q198" s="569"/>
      <c r="R198" s="569"/>
      <c r="S198" s="569"/>
      <c r="T198" s="569"/>
      <c r="U198" s="569"/>
      <c r="V198" s="586"/>
      <c r="W198" s="586"/>
      <c r="X198" s="586"/>
      <c r="Y198" s="586"/>
      <c r="Z198" s="586"/>
      <c r="AA198" s="586"/>
      <c r="AB198" s="586"/>
      <c r="AC198" s="586"/>
      <c r="AD198" s="586"/>
      <c r="AE198" s="586"/>
      <c r="AF198" s="586"/>
      <c r="AG198" s="586"/>
      <c r="AH198" s="586"/>
      <c r="AI198" s="586"/>
      <c r="AJ198" s="586"/>
      <c r="AK198" s="586"/>
      <c r="AL198" s="586"/>
      <c r="AM198" s="586"/>
      <c r="AN198" s="586"/>
      <c r="AO198" s="586"/>
      <c r="AP198" s="586"/>
      <c r="AQ198" s="586"/>
      <c r="AR198" s="586"/>
      <c r="AS198" s="586"/>
      <c r="AT198" s="586"/>
      <c r="AU198" s="586"/>
      <c r="AV198" s="586"/>
      <c r="AW198" s="586"/>
      <c r="AX198" s="586"/>
    </row>
    <row r="199">
      <c r="A199" s="7"/>
      <c r="B199" s="569"/>
      <c r="C199" s="219" t="s">
        <v>1973</v>
      </c>
      <c r="D199" s="569"/>
      <c r="E199" s="569"/>
      <c r="F199" s="569"/>
      <c r="G199" s="569"/>
      <c r="H199" s="569"/>
      <c r="I199" s="569"/>
      <c r="J199" s="569"/>
      <c r="K199" s="569"/>
      <c r="L199" s="569"/>
      <c r="M199" s="569"/>
      <c r="N199" s="569"/>
      <c r="O199" s="569"/>
      <c r="P199" s="569"/>
      <c r="Q199" s="569"/>
      <c r="R199" s="569"/>
      <c r="S199" s="569"/>
      <c r="T199" s="569"/>
      <c r="U199" s="569"/>
      <c r="V199" s="586"/>
      <c r="W199" s="586"/>
      <c r="X199" s="586"/>
      <c r="Y199" s="586"/>
      <c r="Z199" s="586"/>
      <c r="AA199" s="586"/>
      <c r="AB199" s="586"/>
      <c r="AC199" s="586"/>
      <c r="AD199" s="586"/>
      <c r="AE199" s="586"/>
      <c r="AF199" s="586"/>
      <c r="AG199" s="586"/>
      <c r="AH199" s="586"/>
      <c r="AI199" s="586"/>
      <c r="AJ199" s="586"/>
      <c r="AK199" s="586"/>
      <c r="AL199" s="586"/>
      <c r="AM199" s="586"/>
      <c r="AN199" s="586"/>
      <c r="AO199" s="586"/>
      <c r="AP199" s="586"/>
      <c r="AQ199" s="586"/>
      <c r="AR199" s="586"/>
      <c r="AS199" s="586"/>
      <c r="AT199" s="586"/>
      <c r="AU199" s="586"/>
      <c r="AV199" s="586"/>
      <c r="AW199" s="586"/>
      <c r="AX199" s="586"/>
    </row>
    <row r="200">
      <c r="A200" s="7"/>
      <c r="B200" s="569"/>
      <c r="C200" s="569"/>
      <c r="D200" s="569"/>
      <c r="E200" s="569"/>
      <c r="F200" s="569"/>
      <c r="G200" s="569"/>
      <c r="H200" s="569"/>
      <c r="I200" s="569"/>
      <c r="J200" s="569"/>
      <c r="K200" s="569"/>
      <c r="L200" s="569"/>
      <c r="M200" s="569"/>
      <c r="N200" s="569"/>
      <c r="O200" s="569"/>
      <c r="P200" s="569"/>
      <c r="Q200" s="569"/>
      <c r="R200" s="569"/>
      <c r="S200" s="569"/>
      <c r="T200" s="569"/>
      <c r="U200" s="569"/>
      <c r="V200" s="586"/>
      <c r="W200" s="586"/>
      <c r="X200" s="586"/>
      <c r="Y200" s="586"/>
      <c r="Z200" s="586"/>
      <c r="AA200" s="586"/>
      <c r="AB200" s="586"/>
      <c r="AC200" s="586"/>
      <c r="AD200" s="586"/>
      <c r="AE200" s="586"/>
      <c r="AF200" s="586"/>
      <c r="AG200" s="586"/>
      <c r="AH200" s="586"/>
      <c r="AI200" s="586"/>
      <c r="AJ200" s="586"/>
      <c r="AK200" s="586"/>
      <c r="AL200" s="586"/>
      <c r="AM200" s="586"/>
      <c r="AN200" s="586"/>
      <c r="AO200" s="586"/>
      <c r="AP200" s="586"/>
      <c r="AQ200" s="586"/>
      <c r="AR200" s="586"/>
      <c r="AS200" s="586"/>
      <c r="AT200" s="586"/>
      <c r="AU200" s="586"/>
      <c r="AV200" s="586"/>
      <c r="AW200" s="586"/>
      <c r="AX200" s="586"/>
    </row>
    <row r="201">
      <c r="A201" s="7"/>
      <c r="B201" s="569"/>
      <c r="C201" s="569"/>
      <c r="D201" s="569"/>
      <c r="E201" s="569"/>
      <c r="F201" s="569"/>
      <c r="G201" s="569"/>
      <c r="H201" s="569"/>
      <c r="I201" s="569"/>
      <c r="J201" s="569"/>
      <c r="K201" s="569"/>
      <c r="L201" s="569"/>
      <c r="M201" s="569"/>
      <c r="N201" s="569"/>
      <c r="O201" s="569"/>
      <c r="P201" s="569"/>
      <c r="Q201" s="569"/>
      <c r="R201" s="569"/>
      <c r="S201" s="569"/>
      <c r="T201" s="569"/>
      <c r="U201" s="569"/>
      <c r="V201" s="586"/>
      <c r="W201" s="586"/>
      <c r="X201" s="586"/>
      <c r="Y201" s="586"/>
      <c r="Z201" s="586"/>
      <c r="AA201" s="586"/>
      <c r="AB201" s="586"/>
      <c r="AC201" s="586"/>
      <c r="AD201" s="586"/>
      <c r="AE201" s="586"/>
      <c r="AF201" s="586"/>
      <c r="AG201" s="586"/>
      <c r="AH201" s="586"/>
      <c r="AI201" s="586"/>
      <c r="AJ201" s="586"/>
      <c r="AK201" s="586"/>
      <c r="AL201" s="586"/>
      <c r="AM201" s="586"/>
      <c r="AN201" s="586"/>
      <c r="AO201" s="586"/>
      <c r="AP201" s="586"/>
      <c r="AQ201" s="586"/>
      <c r="AR201" s="586"/>
      <c r="AS201" s="586"/>
      <c r="AT201" s="586"/>
      <c r="AU201" s="586"/>
      <c r="AV201" s="586"/>
      <c r="AW201" s="586"/>
      <c r="AX201" s="586"/>
    </row>
    <row r="202">
      <c r="A202" s="7"/>
      <c r="B202" s="569"/>
      <c r="C202" s="569"/>
      <c r="D202" s="569"/>
      <c r="E202" s="569"/>
      <c r="F202" s="569"/>
      <c r="G202" s="569"/>
      <c r="H202" s="569"/>
      <c r="I202" s="569"/>
      <c r="J202" s="569"/>
      <c r="K202" s="569"/>
      <c r="L202" s="569"/>
      <c r="M202" s="569"/>
      <c r="N202" s="569"/>
      <c r="O202" s="569"/>
      <c r="P202" s="569"/>
      <c r="Q202" s="569"/>
      <c r="R202" s="569"/>
      <c r="S202" s="569"/>
      <c r="T202" s="569"/>
      <c r="U202" s="569"/>
      <c r="V202" s="586"/>
      <c r="W202" s="586"/>
      <c r="X202" s="586"/>
      <c r="Y202" s="586"/>
      <c r="Z202" s="586"/>
      <c r="AA202" s="586"/>
      <c r="AB202" s="586"/>
      <c r="AC202" s="586"/>
      <c r="AD202" s="586"/>
      <c r="AE202" s="586"/>
      <c r="AF202" s="586"/>
      <c r="AG202" s="586"/>
      <c r="AH202" s="586"/>
      <c r="AI202" s="586"/>
      <c r="AJ202" s="586"/>
      <c r="AK202" s="586"/>
      <c r="AL202" s="586"/>
      <c r="AM202" s="586"/>
      <c r="AN202" s="586"/>
      <c r="AO202" s="586"/>
      <c r="AP202" s="586"/>
      <c r="AQ202" s="586"/>
      <c r="AR202" s="586"/>
      <c r="AS202" s="586"/>
      <c r="AT202" s="586"/>
      <c r="AU202" s="586"/>
      <c r="AV202" s="586"/>
      <c r="AW202" s="586"/>
      <c r="AX202" s="586"/>
    </row>
    <row r="203">
      <c r="A203" s="7"/>
      <c r="B203" s="569"/>
      <c r="C203" s="569"/>
      <c r="D203" s="569"/>
      <c r="E203" s="569"/>
      <c r="F203" s="569"/>
      <c r="G203" s="569"/>
      <c r="H203" s="569"/>
      <c r="I203" s="569"/>
      <c r="J203" s="569"/>
      <c r="K203" s="569"/>
      <c r="L203" s="569"/>
      <c r="M203" s="569"/>
      <c r="N203" s="569"/>
      <c r="O203" s="569"/>
      <c r="P203" s="569"/>
      <c r="Q203" s="569"/>
      <c r="R203" s="569"/>
      <c r="S203" s="569"/>
      <c r="T203" s="569"/>
      <c r="U203" s="569"/>
      <c r="V203" s="586"/>
      <c r="W203" s="586"/>
      <c r="X203" s="586"/>
      <c r="Y203" s="586"/>
      <c r="Z203" s="586"/>
      <c r="AA203" s="586"/>
      <c r="AB203" s="586"/>
      <c r="AC203" s="586"/>
      <c r="AD203" s="586"/>
      <c r="AE203" s="586"/>
      <c r="AF203" s="586"/>
      <c r="AG203" s="586"/>
      <c r="AH203" s="586"/>
      <c r="AI203" s="586"/>
      <c r="AJ203" s="586"/>
      <c r="AK203" s="586"/>
      <c r="AL203" s="586"/>
      <c r="AM203" s="586"/>
      <c r="AN203" s="586"/>
      <c r="AO203" s="586"/>
      <c r="AP203" s="586"/>
      <c r="AQ203" s="586"/>
      <c r="AR203" s="586"/>
      <c r="AS203" s="586"/>
      <c r="AT203" s="586"/>
      <c r="AU203" s="586"/>
      <c r="AV203" s="586"/>
      <c r="AW203" s="586"/>
      <c r="AX203" s="586"/>
    </row>
    <row r="204">
      <c r="A204" s="7"/>
      <c r="B204" s="569"/>
      <c r="C204" s="569"/>
      <c r="D204" s="569"/>
      <c r="E204" s="569"/>
      <c r="F204" s="569"/>
      <c r="G204" s="569"/>
      <c r="H204" s="569"/>
      <c r="I204" s="569"/>
      <c r="J204" s="569"/>
      <c r="K204" s="569"/>
      <c r="L204" s="569"/>
      <c r="M204" s="569"/>
      <c r="N204" s="569"/>
      <c r="O204" s="569"/>
      <c r="P204" s="569"/>
      <c r="Q204" s="569"/>
      <c r="R204" s="569"/>
      <c r="S204" s="569"/>
      <c r="T204" s="569"/>
      <c r="U204" s="569"/>
      <c r="V204" s="586"/>
      <c r="W204" s="586"/>
      <c r="X204" s="586"/>
      <c r="Y204" s="586"/>
      <c r="Z204" s="586"/>
      <c r="AA204" s="586"/>
      <c r="AB204" s="586"/>
      <c r="AC204" s="586"/>
      <c r="AD204" s="586"/>
      <c r="AE204" s="586"/>
      <c r="AF204" s="586"/>
      <c r="AG204" s="586"/>
      <c r="AH204" s="586"/>
      <c r="AI204" s="586"/>
      <c r="AJ204" s="586"/>
      <c r="AK204" s="586"/>
      <c r="AL204" s="586"/>
      <c r="AM204" s="586"/>
      <c r="AN204" s="586"/>
      <c r="AO204" s="586"/>
      <c r="AP204" s="586"/>
      <c r="AQ204" s="586"/>
      <c r="AR204" s="586"/>
      <c r="AS204" s="586"/>
      <c r="AT204" s="586"/>
      <c r="AU204" s="586"/>
      <c r="AV204" s="586"/>
      <c r="AW204" s="586"/>
      <c r="AX204" s="586"/>
    </row>
    <row r="205">
      <c r="B205" s="831" t="s">
        <v>1974</v>
      </c>
      <c r="C205" s="566"/>
      <c r="D205" s="566"/>
      <c r="E205" s="566"/>
      <c r="F205" s="566"/>
      <c r="G205" s="566"/>
      <c r="H205" s="566"/>
      <c r="I205" s="566"/>
      <c r="J205" s="566"/>
      <c r="K205" s="566"/>
      <c r="L205" s="566"/>
      <c r="M205" s="566"/>
      <c r="N205" s="566"/>
      <c r="O205" s="566"/>
      <c r="P205" s="566"/>
      <c r="Q205" s="566"/>
      <c r="R205" s="566"/>
      <c r="S205" s="566"/>
      <c r="T205" s="566"/>
      <c r="U205" s="832"/>
      <c r="V205" s="586"/>
      <c r="W205" s="586"/>
      <c r="X205" s="586"/>
      <c r="Y205" s="586"/>
      <c r="Z205" s="586"/>
      <c r="AA205" s="586"/>
      <c r="AB205" s="586"/>
      <c r="AC205" s="586"/>
      <c r="AD205" s="586"/>
      <c r="AE205" s="586"/>
      <c r="AF205" s="586"/>
      <c r="AG205" s="586"/>
      <c r="AH205" s="586"/>
      <c r="AI205" s="586"/>
      <c r="AJ205" s="586"/>
      <c r="AK205" s="586"/>
      <c r="AL205" s="586"/>
      <c r="AM205" s="586"/>
      <c r="AN205" s="586"/>
      <c r="AO205" s="586"/>
      <c r="AP205" s="586"/>
      <c r="AQ205" s="586"/>
      <c r="AR205" s="586"/>
      <c r="AS205" s="586"/>
      <c r="AT205" s="586"/>
      <c r="AU205" s="586"/>
      <c r="AV205" s="586"/>
      <c r="AW205" s="586"/>
      <c r="AX205" s="586"/>
    </row>
    <row r="206">
      <c r="A206" s="306" t="s">
        <v>10</v>
      </c>
      <c r="B206" s="308" t="s">
        <v>13</v>
      </c>
      <c r="C206" s="308" t="s">
        <v>11</v>
      </c>
      <c r="D206" s="312" t="s">
        <v>693</v>
      </c>
      <c r="E206" s="313" t="s">
        <v>15</v>
      </c>
      <c r="F206" s="308" t="s">
        <v>698</v>
      </c>
      <c r="G206" s="308" t="s">
        <v>911</v>
      </c>
      <c r="H206" s="308" t="s">
        <v>700</v>
      </c>
      <c r="I206" s="308" t="s">
        <v>701</v>
      </c>
      <c r="J206" s="308" t="s">
        <v>704</v>
      </c>
      <c r="K206" s="308" t="s">
        <v>706</v>
      </c>
      <c r="L206" s="308" t="s">
        <v>707</v>
      </c>
      <c r="M206" s="308" t="s">
        <v>709</v>
      </c>
      <c r="N206" s="308" t="s">
        <v>710</v>
      </c>
      <c r="O206" s="308" t="s">
        <v>711</v>
      </c>
      <c r="P206" s="308" t="s">
        <v>712</v>
      </c>
      <c r="Q206" s="308" t="s">
        <v>714</v>
      </c>
      <c r="R206" s="308" t="s">
        <v>717</v>
      </c>
      <c r="S206" s="308" t="s">
        <v>719</v>
      </c>
      <c r="T206" s="308" t="s">
        <v>721</v>
      </c>
      <c r="V206" s="793"/>
      <c r="W206" s="793"/>
      <c r="X206" s="793"/>
      <c r="Y206" s="793"/>
      <c r="Z206" s="793"/>
      <c r="AA206" s="793"/>
      <c r="AB206" s="793"/>
      <c r="AC206" s="793"/>
      <c r="AD206" s="793"/>
      <c r="AE206" s="793"/>
      <c r="AF206" s="793"/>
      <c r="AG206" s="793"/>
      <c r="AH206" s="793"/>
      <c r="AI206" s="793"/>
      <c r="AJ206" s="793"/>
      <c r="AK206" s="793"/>
      <c r="AL206" s="793"/>
      <c r="AM206" s="793"/>
      <c r="AN206" s="793"/>
      <c r="AO206" s="793"/>
      <c r="AP206" s="793"/>
      <c r="AQ206" s="793"/>
      <c r="AR206" s="793"/>
      <c r="AS206" s="793"/>
      <c r="AT206" s="793"/>
      <c r="AU206" s="793"/>
      <c r="AV206" s="793"/>
      <c r="AW206" s="793"/>
      <c r="AX206" s="793"/>
    </row>
    <row r="207">
      <c r="A207" s="459">
        <v>46025.0</v>
      </c>
      <c r="B207" s="475" t="s">
        <v>1975</v>
      </c>
      <c r="C207" s="475" t="s">
        <v>1976</v>
      </c>
      <c r="D207" s="833">
        <v>197000.0</v>
      </c>
      <c r="E207" s="475" t="s">
        <v>77</v>
      </c>
      <c r="F207" s="427" t="s">
        <v>880</v>
      </c>
      <c r="G207" s="427" t="s">
        <v>880</v>
      </c>
      <c r="H207" s="427" t="s">
        <v>880</v>
      </c>
      <c r="I207" s="427" t="s">
        <v>880</v>
      </c>
      <c r="J207" s="472">
        <f t="shared" ref="J207:J209" si="13">D207</f>
        <v>197000</v>
      </c>
      <c r="K207" s="427" t="s">
        <v>880</v>
      </c>
      <c r="L207" s="474" t="s">
        <v>1977</v>
      </c>
      <c r="M207" s="427" t="s">
        <v>880</v>
      </c>
      <c r="N207" s="475" t="s">
        <v>773</v>
      </c>
      <c r="O207" s="475" t="s">
        <v>1179</v>
      </c>
      <c r="P207" s="427" t="s">
        <v>773</v>
      </c>
      <c r="Q207" s="427" t="s">
        <v>880</v>
      </c>
      <c r="R207" s="475" t="s">
        <v>777</v>
      </c>
      <c r="S207" s="476"/>
      <c r="T207" s="470">
        <v>46034.0</v>
      </c>
      <c r="U207" s="834" t="s">
        <v>278</v>
      </c>
      <c r="V207" s="586"/>
      <c r="W207" s="586"/>
      <c r="X207" s="586"/>
      <c r="Y207" s="586"/>
      <c r="Z207" s="586"/>
      <c r="AA207" s="586"/>
      <c r="AB207" s="586"/>
      <c r="AC207" s="586"/>
      <c r="AD207" s="586"/>
      <c r="AE207" s="586"/>
      <c r="AF207" s="586"/>
      <c r="AG207" s="586"/>
      <c r="AH207" s="586"/>
      <c r="AI207" s="586"/>
      <c r="AJ207" s="586"/>
      <c r="AK207" s="586"/>
      <c r="AL207" s="586"/>
      <c r="AM207" s="586"/>
      <c r="AN207" s="586"/>
      <c r="AO207" s="586"/>
      <c r="AP207" s="586"/>
      <c r="AQ207" s="586"/>
      <c r="AR207" s="586"/>
      <c r="AS207" s="586"/>
      <c r="AT207" s="586"/>
      <c r="AU207" s="586"/>
      <c r="AV207" s="586"/>
      <c r="AW207" s="586"/>
      <c r="AX207" s="586"/>
    </row>
    <row r="208">
      <c r="A208" s="475" t="s">
        <v>1978</v>
      </c>
      <c r="B208" s="475" t="s">
        <v>1979</v>
      </c>
      <c r="C208" s="475" t="s">
        <v>1980</v>
      </c>
      <c r="D208" s="835">
        <v>175000.0</v>
      </c>
      <c r="E208" s="475" t="s">
        <v>77</v>
      </c>
      <c r="F208" s="427" t="s">
        <v>880</v>
      </c>
      <c r="G208" s="427" t="s">
        <v>880</v>
      </c>
      <c r="H208" s="427" t="s">
        <v>880</v>
      </c>
      <c r="I208" s="427" t="s">
        <v>880</v>
      </c>
      <c r="J208" s="355">
        <f t="shared" si="13"/>
        <v>175000</v>
      </c>
      <c r="K208" s="427" t="s">
        <v>880</v>
      </c>
      <c r="L208" s="474" t="s">
        <v>350</v>
      </c>
      <c r="M208" s="427" t="s">
        <v>880</v>
      </c>
      <c r="N208" s="475" t="s">
        <v>773</v>
      </c>
      <c r="O208" s="475" t="s">
        <v>837</v>
      </c>
      <c r="P208" s="427" t="s">
        <v>773</v>
      </c>
      <c r="Q208" s="427" t="s">
        <v>880</v>
      </c>
      <c r="R208" s="475">
        <v>9.0</v>
      </c>
      <c r="S208" s="475" t="s">
        <v>1981</v>
      </c>
      <c r="T208" s="470">
        <v>46049.0</v>
      </c>
      <c r="V208" s="586"/>
      <c r="W208" s="586"/>
      <c r="X208" s="586"/>
      <c r="Y208" s="586"/>
      <c r="Z208" s="586"/>
      <c r="AA208" s="586"/>
      <c r="AB208" s="586"/>
      <c r="AC208" s="586"/>
      <c r="AD208" s="586"/>
      <c r="AE208" s="586"/>
      <c r="AF208" s="586"/>
      <c r="AG208" s="586"/>
      <c r="AH208" s="586"/>
      <c r="AI208" s="586"/>
      <c r="AJ208" s="586"/>
      <c r="AK208" s="586"/>
      <c r="AL208" s="586"/>
      <c r="AM208" s="586"/>
      <c r="AN208" s="586"/>
      <c r="AO208" s="586"/>
      <c r="AP208" s="586"/>
      <c r="AQ208" s="586"/>
      <c r="AR208" s="586"/>
      <c r="AS208" s="586"/>
      <c r="AT208" s="586"/>
      <c r="AU208" s="586"/>
      <c r="AV208" s="586"/>
      <c r="AW208" s="586"/>
      <c r="AX208" s="586"/>
    </row>
    <row r="209">
      <c r="A209" s="490">
        <v>46067.0</v>
      </c>
      <c r="B209" s="501" t="s">
        <v>1982</v>
      </c>
      <c r="C209" s="501" t="s">
        <v>1983</v>
      </c>
      <c r="D209" s="836">
        <v>192000.0</v>
      </c>
      <c r="E209" s="501" t="s">
        <v>77</v>
      </c>
      <c r="F209" s="482" t="s">
        <v>880</v>
      </c>
      <c r="G209" s="482" t="s">
        <v>880</v>
      </c>
      <c r="H209" s="482" t="s">
        <v>880</v>
      </c>
      <c r="I209" s="482" t="s">
        <v>880</v>
      </c>
      <c r="J209" s="472">
        <f t="shared" si="13"/>
        <v>192000</v>
      </c>
      <c r="K209" s="482" t="s">
        <v>880</v>
      </c>
      <c r="L209" s="837" t="s">
        <v>1984</v>
      </c>
      <c r="M209" s="482" t="s">
        <v>880</v>
      </c>
      <c r="N209" s="501" t="s">
        <v>773</v>
      </c>
      <c r="O209" s="501" t="s">
        <v>1179</v>
      </c>
      <c r="P209" s="501" t="s">
        <v>773</v>
      </c>
      <c r="Q209" s="501" t="s">
        <v>1985</v>
      </c>
      <c r="R209" s="501">
        <v>10.0</v>
      </c>
      <c r="S209" s="502"/>
      <c r="T209" s="481">
        <v>46078.0</v>
      </c>
      <c r="U209" s="834" t="s">
        <v>446</v>
      </c>
      <c r="V209" s="586"/>
      <c r="W209" s="586"/>
      <c r="X209" s="586"/>
      <c r="Y209" s="586"/>
      <c r="Z209" s="586"/>
      <c r="AA209" s="586"/>
      <c r="AB209" s="586"/>
      <c r="AC209" s="586"/>
      <c r="AD209" s="586"/>
      <c r="AE209" s="586"/>
      <c r="AF209" s="586"/>
      <c r="AG209" s="586"/>
      <c r="AH209" s="586"/>
      <c r="AI209" s="586"/>
      <c r="AJ209" s="586"/>
      <c r="AK209" s="586"/>
      <c r="AL209" s="586"/>
      <c r="AM209" s="586"/>
      <c r="AN209" s="586"/>
      <c r="AO209" s="586"/>
      <c r="AP209" s="586"/>
      <c r="AQ209" s="586"/>
      <c r="AR209" s="586"/>
      <c r="AS209" s="586"/>
      <c r="AT209" s="586"/>
      <c r="AU209" s="586"/>
      <c r="AV209" s="586"/>
      <c r="AW209" s="586"/>
      <c r="AX209" s="586"/>
    </row>
    <row r="210">
      <c r="A210" s="490">
        <v>46075.0</v>
      </c>
      <c r="B210" s="501" t="s">
        <v>873</v>
      </c>
      <c r="C210" s="501" t="s">
        <v>1986</v>
      </c>
      <c r="D210" s="836">
        <v>187400.0</v>
      </c>
      <c r="E210" s="482" t="s">
        <v>77</v>
      </c>
      <c r="F210" s="482" t="s">
        <v>880</v>
      </c>
      <c r="G210" s="482" t="s">
        <v>880</v>
      </c>
      <c r="H210" s="482" t="s">
        <v>880</v>
      </c>
      <c r="I210" s="482" t="s">
        <v>880</v>
      </c>
      <c r="J210" s="838">
        <v>187400.0</v>
      </c>
      <c r="K210" s="482" t="s">
        <v>880</v>
      </c>
      <c r="L210" s="495" t="s">
        <v>1987</v>
      </c>
      <c r="M210" s="482" t="s">
        <v>880</v>
      </c>
      <c r="N210" s="501" t="s">
        <v>773</v>
      </c>
      <c r="O210" s="501" t="s">
        <v>1179</v>
      </c>
      <c r="P210" s="482" t="s">
        <v>773</v>
      </c>
      <c r="Q210" s="501" t="s">
        <v>1985</v>
      </c>
      <c r="R210" s="482" t="s">
        <v>777</v>
      </c>
      <c r="S210" s="502"/>
      <c r="T210" s="481">
        <v>46081.0</v>
      </c>
      <c r="V210" s="586"/>
      <c r="W210" s="586"/>
      <c r="X210" s="586"/>
      <c r="Y210" s="586"/>
      <c r="Z210" s="586"/>
      <c r="AA210" s="586"/>
      <c r="AB210" s="586"/>
      <c r="AC210" s="586"/>
      <c r="AD210" s="586"/>
      <c r="AE210" s="586"/>
      <c r="AF210" s="586"/>
      <c r="AG210" s="586"/>
      <c r="AH210" s="586"/>
      <c r="AI210" s="586"/>
      <c r="AJ210" s="586"/>
      <c r="AK210" s="586"/>
      <c r="AL210" s="586"/>
      <c r="AM210" s="586"/>
      <c r="AN210" s="586"/>
      <c r="AO210" s="586"/>
      <c r="AP210" s="586"/>
      <c r="AQ210" s="586"/>
      <c r="AR210" s="586"/>
      <c r="AS210" s="586"/>
      <c r="AT210" s="586"/>
      <c r="AU210" s="586"/>
      <c r="AV210" s="586"/>
      <c r="AW210" s="586"/>
      <c r="AX210" s="586"/>
    </row>
    <row r="211">
      <c r="A211" s="490">
        <v>46076.0</v>
      </c>
      <c r="B211" s="501" t="s">
        <v>524</v>
      </c>
      <c r="C211" s="501" t="s">
        <v>1988</v>
      </c>
      <c r="D211" s="836">
        <v>209400.0</v>
      </c>
      <c r="E211" s="482" t="s">
        <v>77</v>
      </c>
      <c r="F211" s="836">
        <v>36000.0</v>
      </c>
      <c r="G211" s="482" t="s">
        <v>880</v>
      </c>
      <c r="H211" s="482" t="s">
        <v>880</v>
      </c>
      <c r="I211" s="482" t="s">
        <v>880</v>
      </c>
      <c r="J211" s="838">
        <v>209400.0</v>
      </c>
      <c r="K211" s="482" t="s">
        <v>880</v>
      </c>
      <c r="L211" s="495" t="s">
        <v>1989</v>
      </c>
      <c r="M211" s="482" t="s">
        <v>880</v>
      </c>
      <c r="N211" s="501" t="s">
        <v>773</v>
      </c>
      <c r="O211" s="501" t="s">
        <v>1179</v>
      </c>
      <c r="P211" s="482" t="s">
        <v>773</v>
      </c>
      <c r="Q211" s="501" t="s">
        <v>1985</v>
      </c>
      <c r="R211" s="482" t="s">
        <v>777</v>
      </c>
      <c r="S211" s="502"/>
      <c r="T211" s="481">
        <v>46081.0</v>
      </c>
      <c r="V211" s="586"/>
      <c r="W211" s="586"/>
      <c r="X211" s="586"/>
      <c r="Y211" s="586"/>
      <c r="Z211" s="586"/>
      <c r="AA211" s="586"/>
      <c r="AB211" s="586"/>
      <c r="AC211" s="586"/>
      <c r="AD211" s="586"/>
      <c r="AE211" s="586"/>
      <c r="AF211" s="586"/>
      <c r="AG211" s="586"/>
      <c r="AH211" s="586"/>
      <c r="AI211" s="586"/>
      <c r="AJ211" s="586"/>
      <c r="AK211" s="586"/>
      <c r="AL211" s="586"/>
      <c r="AM211" s="586"/>
      <c r="AN211" s="586"/>
      <c r="AO211" s="586"/>
      <c r="AP211" s="586"/>
      <c r="AQ211" s="586"/>
      <c r="AR211" s="586"/>
      <c r="AS211" s="586"/>
      <c r="AT211" s="586"/>
      <c r="AU211" s="586"/>
      <c r="AV211" s="586"/>
      <c r="AW211" s="586"/>
      <c r="AX211" s="586"/>
    </row>
    <row r="212">
      <c r="A212" s="505">
        <v>46086.0</v>
      </c>
      <c r="B212" s="513" t="s">
        <v>1990</v>
      </c>
      <c r="C212" s="513" t="s">
        <v>1991</v>
      </c>
      <c r="D212" s="839">
        <v>192400.0</v>
      </c>
      <c r="E212" s="506" t="s">
        <v>77</v>
      </c>
      <c r="F212" s="506" t="s">
        <v>880</v>
      </c>
      <c r="G212" s="506" t="s">
        <v>880</v>
      </c>
      <c r="H212" s="506" t="s">
        <v>880</v>
      </c>
      <c r="I212" s="506" t="s">
        <v>880</v>
      </c>
      <c r="J212" s="838">
        <f t="shared" ref="J212:J214" si="14">D212</f>
        <v>192400</v>
      </c>
      <c r="K212" s="506" t="s">
        <v>880</v>
      </c>
      <c r="L212" s="511" t="s">
        <v>1992</v>
      </c>
      <c r="M212" s="506" t="s">
        <v>880</v>
      </c>
      <c r="N212" s="513" t="s">
        <v>773</v>
      </c>
      <c r="O212" s="513" t="s">
        <v>1486</v>
      </c>
      <c r="P212" s="506" t="s">
        <v>773</v>
      </c>
      <c r="Q212" s="513" t="s">
        <v>1985</v>
      </c>
      <c r="R212" s="506" t="s">
        <v>777</v>
      </c>
      <c r="S212" s="515"/>
      <c r="T212" s="505">
        <v>46091.0</v>
      </c>
      <c r="U212" s="834" t="s">
        <v>1291</v>
      </c>
      <c r="V212" s="586"/>
      <c r="W212" s="586"/>
      <c r="X212" s="586"/>
      <c r="Y212" s="586"/>
      <c r="Z212" s="586"/>
      <c r="AA212" s="586"/>
      <c r="AB212" s="586"/>
      <c r="AC212" s="586"/>
      <c r="AD212" s="586"/>
      <c r="AE212" s="586"/>
      <c r="AF212" s="586"/>
      <c r="AG212" s="586"/>
      <c r="AH212" s="586"/>
      <c r="AI212" s="586"/>
      <c r="AJ212" s="586"/>
      <c r="AK212" s="586"/>
      <c r="AL212" s="586"/>
      <c r="AM212" s="586"/>
      <c r="AN212" s="586"/>
      <c r="AO212" s="586"/>
      <c r="AP212" s="586"/>
      <c r="AQ212" s="586"/>
      <c r="AR212" s="586"/>
      <c r="AS212" s="586"/>
      <c r="AT212" s="586"/>
      <c r="AU212" s="586"/>
      <c r="AV212" s="586"/>
      <c r="AW212" s="586"/>
      <c r="AX212" s="586"/>
    </row>
    <row r="213">
      <c r="A213" s="505">
        <v>46101.0</v>
      </c>
      <c r="B213" s="513" t="s">
        <v>1993</v>
      </c>
      <c r="C213" s="513" t="s">
        <v>1994</v>
      </c>
      <c r="D213" s="839">
        <v>197400.0</v>
      </c>
      <c r="E213" s="506" t="s">
        <v>77</v>
      </c>
      <c r="F213" s="506" t="s">
        <v>880</v>
      </c>
      <c r="G213" s="506" t="s">
        <v>880</v>
      </c>
      <c r="H213" s="506" t="s">
        <v>880</v>
      </c>
      <c r="I213" s="506" t="s">
        <v>880</v>
      </c>
      <c r="J213" s="838">
        <f t="shared" si="14"/>
        <v>197400</v>
      </c>
      <c r="K213" s="506" t="s">
        <v>880</v>
      </c>
      <c r="L213" s="511" t="s">
        <v>1995</v>
      </c>
      <c r="M213" s="506" t="s">
        <v>880</v>
      </c>
      <c r="N213" s="513" t="s">
        <v>773</v>
      </c>
      <c r="O213" s="513" t="s">
        <v>1179</v>
      </c>
      <c r="P213" s="506" t="s">
        <v>773</v>
      </c>
      <c r="Q213" s="513" t="s">
        <v>1985</v>
      </c>
      <c r="R213" s="506">
        <v>10.0</v>
      </c>
      <c r="S213" s="515"/>
      <c r="T213" s="662">
        <v>46110.0</v>
      </c>
      <c r="V213" s="586"/>
      <c r="W213" s="586"/>
      <c r="X213" s="586"/>
      <c r="Y213" s="586"/>
      <c r="Z213" s="586"/>
      <c r="AA213" s="586"/>
      <c r="AB213" s="586"/>
      <c r="AC213" s="586"/>
      <c r="AD213" s="586"/>
      <c r="AE213" s="586"/>
      <c r="AF213" s="586"/>
      <c r="AG213" s="586"/>
      <c r="AH213" s="586"/>
      <c r="AI213" s="586"/>
      <c r="AJ213" s="586"/>
      <c r="AK213" s="586"/>
      <c r="AL213" s="586"/>
      <c r="AM213" s="586"/>
      <c r="AN213" s="586"/>
      <c r="AO213" s="586"/>
      <c r="AP213" s="586"/>
      <c r="AQ213" s="586"/>
      <c r="AR213" s="586"/>
      <c r="AS213" s="586"/>
      <c r="AT213" s="586"/>
      <c r="AU213" s="586"/>
      <c r="AV213" s="586"/>
      <c r="AW213" s="586"/>
      <c r="AX213" s="586"/>
    </row>
    <row r="214">
      <c r="A214" s="505">
        <v>46103.0</v>
      </c>
      <c r="B214" s="594" t="s">
        <v>1996</v>
      </c>
      <c r="C214" s="513" t="s">
        <v>1997</v>
      </c>
      <c r="D214" s="839">
        <v>202400.0</v>
      </c>
      <c r="E214" s="506" t="s">
        <v>77</v>
      </c>
      <c r="F214" s="838">
        <v>96000.0</v>
      </c>
      <c r="G214" s="506" t="s">
        <v>880</v>
      </c>
      <c r="H214" s="506" t="s">
        <v>880</v>
      </c>
      <c r="I214" s="506" t="s">
        <v>880</v>
      </c>
      <c r="J214" s="838">
        <f t="shared" si="14"/>
        <v>202400</v>
      </c>
      <c r="K214" s="506" t="s">
        <v>880</v>
      </c>
      <c r="L214" s="533" t="s">
        <v>1998</v>
      </c>
      <c r="M214" s="506" t="s">
        <v>880</v>
      </c>
      <c r="N214" s="513" t="s">
        <v>773</v>
      </c>
      <c r="O214" s="513" t="s">
        <v>1179</v>
      </c>
      <c r="P214" s="506" t="s">
        <v>773</v>
      </c>
      <c r="Q214" s="513" t="s">
        <v>1985</v>
      </c>
      <c r="R214" s="506" t="s">
        <v>777</v>
      </c>
      <c r="S214" s="515"/>
      <c r="T214" s="662">
        <v>46110.0</v>
      </c>
      <c r="V214" s="586"/>
      <c r="W214" s="586"/>
      <c r="X214" s="586"/>
      <c r="Y214" s="586"/>
      <c r="Z214" s="586"/>
      <c r="AA214" s="586"/>
      <c r="AB214" s="586"/>
      <c r="AC214" s="586"/>
      <c r="AD214" s="586"/>
      <c r="AE214" s="586"/>
      <c r="AF214" s="586"/>
      <c r="AG214" s="586"/>
      <c r="AH214" s="586"/>
      <c r="AI214" s="586"/>
      <c r="AJ214" s="586"/>
      <c r="AK214" s="586"/>
      <c r="AL214" s="586"/>
      <c r="AM214" s="586"/>
      <c r="AN214" s="586"/>
      <c r="AO214" s="586"/>
      <c r="AP214" s="586"/>
      <c r="AQ214" s="586"/>
      <c r="AR214" s="586"/>
      <c r="AS214" s="586"/>
      <c r="AT214" s="586"/>
      <c r="AU214" s="586"/>
      <c r="AV214" s="586"/>
      <c r="AW214" s="586"/>
      <c r="AX214" s="586"/>
    </row>
    <row r="215">
      <c r="A215" s="687">
        <v>46125.0</v>
      </c>
      <c r="B215" s="315" t="s">
        <v>1092</v>
      </c>
      <c r="C215" s="315" t="s">
        <v>1999</v>
      </c>
      <c r="D215" s="840">
        <v>171400.0</v>
      </c>
      <c r="E215" s="35" t="s">
        <v>77</v>
      </c>
      <c r="F215" s="35" t="s">
        <v>880</v>
      </c>
      <c r="G215" s="35" t="s">
        <v>880</v>
      </c>
      <c r="H215" s="35" t="s">
        <v>880</v>
      </c>
      <c r="I215" s="35" t="s">
        <v>880</v>
      </c>
      <c r="J215" s="838">
        <v>171400.0</v>
      </c>
      <c r="K215" s="35" t="s">
        <v>880</v>
      </c>
      <c r="L215" s="346" t="s">
        <v>2000</v>
      </c>
      <c r="M215" s="35" t="s">
        <v>880</v>
      </c>
      <c r="N215" s="165" t="s">
        <v>773</v>
      </c>
      <c r="O215" s="165" t="s">
        <v>1179</v>
      </c>
      <c r="P215" s="35" t="s">
        <v>773</v>
      </c>
      <c r="Q215" s="165" t="s">
        <v>1985</v>
      </c>
      <c r="R215" s="35" t="s">
        <v>777</v>
      </c>
      <c r="S215" s="140"/>
      <c r="T215" s="250">
        <v>46132.0</v>
      </c>
      <c r="U215" s="834" t="s">
        <v>1957</v>
      </c>
      <c r="V215" s="586"/>
      <c r="W215" s="586"/>
      <c r="X215" s="586"/>
      <c r="Y215" s="586"/>
      <c r="Z215" s="586"/>
      <c r="AA215" s="586"/>
      <c r="AB215" s="586"/>
      <c r="AC215" s="586"/>
      <c r="AD215" s="586"/>
      <c r="AE215" s="586"/>
      <c r="AF215" s="586"/>
      <c r="AG215" s="586"/>
      <c r="AH215" s="586"/>
      <c r="AI215" s="586"/>
      <c r="AJ215" s="586"/>
      <c r="AK215" s="586"/>
      <c r="AL215" s="586"/>
      <c r="AM215" s="586"/>
      <c r="AN215" s="586"/>
      <c r="AO215" s="586"/>
      <c r="AP215" s="586"/>
      <c r="AQ215" s="586"/>
      <c r="AR215" s="586"/>
      <c r="AS215" s="586"/>
      <c r="AT215" s="586"/>
      <c r="AU215" s="586"/>
      <c r="AV215" s="586"/>
      <c r="AW215" s="586"/>
      <c r="AX215" s="586"/>
    </row>
    <row r="216">
      <c r="A216" s="841"/>
      <c r="N216" s="7"/>
      <c r="U216" s="834"/>
      <c r="V216" s="586"/>
      <c r="W216" s="586"/>
      <c r="X216" s="586"/>
      <c r="Y216" s="586"/>
      <c r="Z216" s="586"/>
      <c r="AA216" s="586"/>
      <c r="AB216" s="586"/>
      <c r="AC216" s="586"/>
      <c r="AD216" s="586"/>
      <c r="AE216" s="586"/>
      <c r="AF216" s="586"/>
      <c r="AG216" s="586"/>
      <c r="AH216" s="586"/>
      <c r="AI216" s="586"/>
      <c r="AJ216" s="586"/>
      <c r="AK216" s="586"/>
      <c r="AL216" s="586"/>
      <c r="AM216" s="586"/>
      <c r="AN216" s="586"/>
      <c r="AO216" s="586"/>
      <c r="AP216" s="586"/>
      <c r="AQ216" s="586"/>
      <c r="AR216" s="586"/>
      <c r="AS216" s="586"/>
      <c r="AT216" s="586"/>
      <c r="AU216" s="586"/>
      <c r="AV216" s="586"/>
      <c r="AW216" s="586"/>
      <c r="AX216" s="586"/>
    </row>
    <row r="217">
      <c r="A217" s="841"/>
      <c r="N217" s="7"/>
      <c r="U217" s="834"/>
      <c r="V217" s="586"/>
      <c r="W217" s="586"/>
      <c r="X217" s="586"/>
      <c r="Y217" s="586"/>
      <c r="Z217" s="586"/>
      <c r="AA217" s="586"/>
      <c r="AB217" s="586"/>
      <c r="AC217" s="586"/>
      <c r="AD217" s="586"/>
      <c r="AE217" s="586"/>
      <c r="AF217" s="586"/>
      <c r="AG217" s="586"/>
      <c r="AH217" s="586"/>
      <c r="AI217" s="586"/>
      <c r="AJ217" s="586"/>
      <c r="AK217" s="586"/>
      <c r="AL217" s="586"/>
      <c r="AM217" s="586"/>
      <c r="AN217" s="586"/>
      <c r="AO217" s="586"/>
      <c r="AP217" s="586"/>
      <c r="AQ217" s="586"/>
      <c r="AR217" s="586"/>
      <c r="AS217" s="586"/>
      <c r="AT217" s="586"/>
      <c r="AU217" s="586"/>
      <c r="AV217" s="586"/>
      <c r="AW217" s="586"/>
      <c r="AX217" s="586"/>
    </row>
    <row r="218">
      <c r="A218" s="841"/>
      <c r="C218" s="558" t="s">
        <v>1394</v>
      </c>
      <c r="N218" s="7"/>
      <c r="V218" s="586"/>
      <c r="W218" s="586"/>
      <c r="X218" s="586"/>
      <c r="Y218" s="586"/>
      <c r="Z218" s="586"/>
      <c r="AA218" s="586"/>
      <c r="AB218" s="586"/>
      <c r="AC218" s="586"/>
      <c r="AD218" s="586"/>
      <c r="AE218" s="586"/>
      <c r="AF218" s="586"/>
      <c r="AG218" s="586"/>
      <c r="AH218" s="586"/>
      <c r="AI218" s="586"/>
      <c r="AJ218" s="586"/>
      <c r="AK218" s="586"/>
      <c r="AL218" s="586"/>
      <c r="AM218" s="586"/>
      <c r="AN218" s="586"/>
      <c r="AO218" s="586"/>
      <c r="AP218" s="586"/>
      <c r="AQ218" s="586"/>
      <c r="AR218" s="586"/>
      <c r="AS218" s="586"/>
      <c r="AT218" s="586"/>
      <c r="AU218" s="586"/>
      <c r="AV218" s="586"/>
      <c r="AW218" s="586"/>
      <c r="AX218" s="586"/>
    </row>
    <row r="219">
      <c r="A219" s="841"/>
      <c r="C219" s="24" t="s">
        <v>2001</v>
      </c>
      <c r="N219" s="7"/>
      <c r="V219" s="586"/>
      <c r="W219" s="586"/>
      <c r="X219" s="586"/>
      <c r="Y219" s="586"/>
      <c r="Z219" s="586"/>
      <c r="AA219" s="586"/>
      <c r="AB219" s="586"/>
      <c r="AC219" s="586"/>
      <c r="AD219" s="586"/>
      <c r="AE219" s="586"/>
      <c r="AF219" s="586"/>
      <c r="AG219" s="586"/>
      <c r="AH219" s="586"/>
      <c r="AI219" s="586"/>
      <c r="AJ219" s="586"/>
      <c r="AK219" s="586"/>
      <c r="AL219" s="586"/>
      <c r="AM219" s="586"/>
      <c r="AN219" s="586"/>
      <c r="AO219" s="586"/>
      <c r="AP219" s="586"/>
      <c r="AQ219" s="586"/>
      <c r="AR219" s="586"/>
      <c r="AS219" s="586"/>
      <c r="AT219" s="586"/>
      <c r="AU219" s="586"/>
      <c r="AV219" s="586"/>
      <c r="AW219" s="586"/>
      <c r="AX219" s="586"/>
    </row>
    <row r="220">
      <c r="A220" s="841"/>
      <c r="C220" s="219" t="s">
        <v>2002</v>
      </c>
      <c r="N220" s="7"/>
      <c r="V220" s="586"/>
      <c r="W220" s="586"/>
      <c r="X220" s="586"/>
      <c r="Y220" s="586"/>
      <c r="Z220" s="586"/>
      <c r="AA220" s="586"/>
      <c r="AB220" s="586"/>
      <c r="AC220" s="586"/>
      <c r="AD220" s="586"/>
      <c r="AE220" s="586"/>
      <c r="AF220" s="586"/>
      <c r="AG220" s="586"/>
      <c r="AH220" s="586"/>
      <c r="AI220" s="586"/>
      <c r="AJ220" s="586"/>
      <c r="AK220" s="586"/>
      <c r="AL220" s="586"/>
      <c r="AM220" s="586"/>
      <c r="AN220" s="586"/>
      <c r="AO220" s="586"/>
      <c r="AP220" s="586"/>
      <c r="AQ220" s="586"/>
      <c r="AR220" s="586"/>
      <c r="AS220" s="586"/>
      <c r="AT220" s="586"/>
      <c r="AU220" s="586"/>
      <c r="AV220" s="586"/>
      <c r="AW220" s="586"/>
      <c r="AX220" s="586"/>
    </row>
    <row r="221">
      <c r="A221" s="841"/>
      <c r="N221" s="7"/>
      <c r="V221" s="586"/>
      <c r="W221" s="586"/>
      <c r="X221" s="586"/>
      <c r="Y221" s="586"/>
      <c r="Z221" s="586"/>
      <c r="AA221" s="586"/>
      <c r="AB221" s="586"/>
      <c r="AC221" s="586"/>
      <c r="AD221" s="586"/>
      <c r="AE221" s="586"/>
      <c r="AF221" s="586"/>
      <c r="AG221" s="586"/>
      <c r="AH221" s="586"/>
      <c r="AI221" s="586"/>
      <c r="AJ221" s="586"/>
      <c r="AK221" s="586"/>
      <c r="AL221" s="586"/>
      <c r="AM221" s="586"/>
      <c r="AN221" s="586"/>
      <c r="AO221" s="586"/>
      <c r="AP221" s="586"/>
      <c r="AQ221" s="586"/>
      <c r="AR221" s="586"/>
      <c r="AS221" s="586"/>
      <c r="AT221" s="586"/>
      <c r="AU221" s="586"/>
      <c r="AV221" s="586"/>
      <c r="AW221" s="586"/>
      <c r="AX221" s="586"/>
    </row>
    <row r="222">
      <c r="B222" s="831" t="s">
        <v>2003</v>
      </c>
      <c r="C222" s="566"/>
      <c r="D222" s="566"/>
      <c r="E222" s="566"/>
      <c r="F222" s="566"/>
      <c r="G222" s="566"/>
      <c r="H222" s="566"/>
      <c r="I222" s="566"/>
      <c r="J222" s="566"/>
      <c r="K222" s="566"/>
      <c r="L222" s="566"/>
      <c r="M222" s="566"/>
      <c r="N222" s="566"/>
      <c r="O222" s="566"/>
      <c r="P222" s="566"/>
      <c r="Q222" s="566"/>
      <c r="R222" s="566"/>
      <c r="S222" s="566"/>
      <c r="T222" s="566"/>
      <c r="U222" s="832"/>
      <c r="V222" s="586"/>
      <c r="W222" s="586"/>
      <c r="X222" s="586"/>
      <c r="Y222" s="586"/>
      <c r="Z222" s="586"/>
      <c r="AA222" s="586"/>
      <c r="AB222" s="586"/>
      <c r="AC222" s="586"/>
      <c r="AD222" s="586"/>
      <c r="AE222" s="586"/>
      <c r="AF222" s="586"/>
      <c r="AG222" s="586"/>
      <c r="AH222" s="586"/>
      <c r="AI222" s="586"/>
      <c r="AJ222" s="586"/>
      <c r="AK222" s="586"/>
      <c r="AL222" s="586"/>
      <c r="AM222" s="586"/>
      <c r="AN222" s="586"/>
      <c r="AO222" s="586"/>
      <c r="AP222" s="586"/>
      <c r="AQ222" s="586"/>
      <c r="AR222" s="586"/>
      <c r="AS222" s="586"/>
      <c r="AT222" s="586"/>
      <c r="AU222" s="586"/>
      <c r="AV222" s="586"/>
      <c r="AW222" s="586"/>
      <c r="AX222" s="586"/>
    </row>
    <row r="223">
      <c r="A223" s="26" t="s">
        <v>10</v>
      </c>
      <c r="B223" s="414" t="s">
        <v>13</v>
      </c>
      <c r="C223" s="414" t="s">
        <v>11</v>
      </c>
      <c r="D223" s="417" t="s">
        <v>693</v>
      </c>
      <c r="E223" s="419" t="s">
        <v>15</v>
      </c>
      <c r="F223" s="414" t="s">
        <v>698</v>
      </c>
      <c r="G223" s="414" t="s">
        <v>911</v>
      </c>
      <c r="H223" s="414" t="s">
        <v>700</v>
      </c>
      <c r="I223" s="414" t="s">
        <v>701</v>
      </c>
      <c r="J223" s="414" t="s">
        <v>704</v>
      </c>
      <c r="K223" s="414" t="s">
        <v>706</v>
      </c>
      <c r="L223" s="414" t="s">
        <v>707</v>
      </c>
      <c r="M223" s="414" t="s">
        <v>709</v>
      </c>
      <c r="N223" s="414" t="s">
        <v>710</v>
      </c>
      <c r="O223" s="414" t="s">
        <v>711</v>
      </c>
      <c r="P223" s="414" t="s">
        <v>712</v>
      </c>
      <c r="Q223" s="414" t="s">
        <v>714</v>
      </c>
      <c r="R223" s="414" t="s">
        <v>717</v>
      </c>
      <c r="S223" s="414" t="s">
        <v>719</v>
      </c>
      <c r="T223" s="414" t="s">
        <v>721</v>
      </c>
      <c r="V223" s="586"/>
      <c r="W223" s="586"/>
      <c r="X223" s="586"/>
      <c r="Y223" s="586"/>
      <c r="Z223" s="586"/>
      <c r="AA223" s="586"/>
      <c r="AB223" s="586"/>
      <c r="AC223" s="586"/>
      <c r="AD223" s="586"/>
      <c r="AE223" s="586"/>
      <c r="AF223" s="586"/>
      <c r="AG223" s="586"/>
      <c r="AH223" s="586"/>
      <c r="AI223" s="586"/>
      <c r="AJ223" s="586"/>
      <c r="AK223" s="586"/>
      <c r="AL223" s="586"/>
      <c r="AM223" s="586"/>
      <c r="AN223" s="586"/>
      <c r="AO223" s="586"/>
      <c r="AP223" s="586"/>
      <c r="AQ223" s="586"/>
      <c r="AR223" s="586"/>
      <c r="AS223" s="586"/>
      <c r="AT223" s="586"/>
      <c r="AU223" s="586"/>
      <c r="AV223" s="586"/>
      <c r="AW223" s="586"/>
      <c r="AX223" s="586"/>
    </row>
    <row r="224">
      <c r="A224" s="568">
        <v>46044.0</v>
      </c>
      <c r="B224" s="427" t="s">
        <v>2004</v>
      </c>
      <c r="C224" s="427" t="s">
        <v>2005</v>
      </c>
      <c r="D224" s="462">
        <v>175000.0</v>
      </c>
      <c r="E224" s="427" t="s">
        <v>77</v>
      </c>
      <c r="F224" s="427" t="s">
        <v>880</v>
      </c>
      <c r="G224" s="427" t="s">
        <v>880</v>
      </c>
      <c r="H224" s="427" t="s">
        <v>880</v>
      </c>
      <c r="I224" s="427" t="s">
        <v>880</v>
      </c>
      <c r="J224" s="588">
        <f>D224</f>
        <v>175000</v>
      </c>
      <c r="K224" s="427" t="s">
        <v>880</v>
      </c>
      <c r="L224" s="468" t="s">
        <v>359</v>
      </c>
      <c r="M224" s="427" t="s">
        <v>880</v>
      </c>
      <c r="N224" s="427" t="s">
        <v>773</v>
      </c>
      <c r="O224" s="427" t="s">
        <v>837</v>
      </c>
      <c r="P224" s="427" t="s">
        <v>773</v>
      </c>
      <c r="Q224" s="427" t="s">
        <v>880</v>
      </c>
      <c r="R224" s="469"/>
      <c r="S224" s="469"/>
      <c r="T224" s="470">
        <v>46049.0</v>
      </c>
      <c r="U224" s="834" t="s">
        <v>278</v>
      </c>
      <c r="V224" s="586"/>
      <c r="W224" s="586"/>
      <c r="X224" s="586"/>
      <c r="Y224" s="586"/>
      <c r="Z224" s="586"/>
      <c r="AA224" s="586"/>
      <c r="AB224" s="586"/>
      <c r="AC224" s="586"/>
      <c r="AD224" s="586"/>
      <c r="AE224" s="586"/>
      <c r="AF224" s="586"/>
      <c r="AG224" s="586"/>
      <c r="AH224" s="586"/>
      <c r="AI224" s="586"/>
      <c r="AJ224" s="586"/>
      <c r="AK224" s="586"/>
      <c r="AL224" s="586"/>
      <c r="AM224" s="586"/>
      <c r="AN224" s="586"/>
      <c r="AO224" s="586"/>
      <c r="AP224" s="586"/>
      <c r="AQ224" s="586"/>
      <c r="AR224" s="586"/>
      <c r="AS224" s="586"/>
      <c r="AT224" s="586"/>
      <c r="AU224" s="586"/>
      <c r="AV224" s="586"/>
      <c r="AW224" s="586"/>
      <c r="AX224" s="586"/>
    </row>
    <row r="225">
      <c r="N225" s="7"/>
      <c r="U225" s="834"/>
      <c r="V225" s="586"/>
      <c r="W225" s="586"/>
      <c r="X225" s="586"/>
      <c r="Y225" s="586"/>
      <c r="Z225" s="586"/>
      <c r="AA225" s="586"/>
      <c r="AB225" s="586"/>
      <c r="AC225" s="586"/>
      <c r="AD225" s="586"/>
      <c r="AE225" s="586"/>
      <c r="AF225" s="586"/>
      <c r="AG225" s="586"/>
      <c r="AH225" s="586"/>
      <c r="AI225" s="586"/>
      <c r="AJ225" s="586"/>
      <c r="AK225" s="586"/>
      <c r="AL225" s="586"/>
      <c r="AM225" s="586"/>
      <c r="AN225" s="586"/>
      <c r="AO225" s="586"/>
      <c r="AP225" s="586"/>
      <c r="AQ225" s="586"/>
      <c r="AR225" s="586"/>
      <c r="AS225" s="586"/>
      <c r="AT225" s="586"/>
      <c r="AU225" s="586"/>
      <c r="AV225" s="586"/>
      <c r="AW225" s="586"/>
      <c r="AX225" s="586"/>
    </row>
    <row r="226">
      <c r="C226" s="558" t="s">
        <v>1394</v>
      </c>
      <c r="N226" s="7"/>
    </row>
    <row r="227">
      <c r="C227" s="24" t="s">
        <v>2006</v>
      </c>
      <c r="N227" s="7"/>
    </row>
    <row r="228">
      <c r="C228" s="219" t="s">
        <v>2007</v>
      </c>
      <c r="N228" s="7"/>
    </row>
    <row r="229">
      <c r="N229" s="7"/>
    </row>
    <row r="230">
      <c r="B230" s="831" t="s">
        <v>2008</v>
      </c>
      <c r="C230" s="566"/>
      <c r="D230" s="566"/>
      <c r="E230" s="566"/>
      <c r="F230" s="566"/>
      <c r="G230" s="566"/>
      <c r="H230" s="566"/>
      <c r="I230" s="566"/>
      <c r="J230" s="566"/>
      <c r="K230" s="566"/>
      <c r="L230" s="566"/>
      <c r="M230" s="566"/>
      <c r="N230" s="566"/>
      <c r="O230" s="566"/>
      <c r="P230" s="566"/>
      <c r="Q230" s="566"/>
      <c r="R230" s="566"/>
      <c r="S230" s="566"/>
      <c r="T230" s="566"/>
      <c r="U230" s="832"/>
    </row>
    <row r="231">
      <c r="A231" s="306" t="s">
        <v>10</v>
      </c>
      <c r="B231" s="414" t="s">
        <v>13</v>
      </c>
      <c r="C231" s="414" t="s">
        <v>11</v>
      </c>
      <c r="D231" s="417" t="s">
        <v>693</v>
      </c>
      <c r="E231" s="419" t="s">
        <v>15</v>
      </c>
      <c r="F231" s="414" t="s">
        <v>698</v>
      </c>
      <c r="G231" s="414" t="s">
        <v>911</v>
      </c>
      <c r="H231" s="414" t="s">
        <v>700</v>
      </c>
      <c r="I231" s="414" t="s">
        <v>701</v>
      </c>
      <c r="J231" s="414" t="s">
        <v>704</v>
      </c>
      <c r="K231" s="414" t="s">
        <v>706</v>
      </c>
      <c r="L231" s="414" t="s">
        <v>707</v>
      </c>
      <c r="M231" s="414" t="s">
        <v>709</v>
      </c>
      <c r="N231" s="414" t="s">
        <v>710</v>
      </c>
      <c r="O231" s="414" t="s">
        <v>711</v>
      </c>
      <c r="P231" s="414" t="s">
        <v>712</v>
      </c>
      <c r="Q231" s="414" t="s">
        <v>714</v>
      </c>
      <c r="R231" s="414" t="s">
        <v>717</v>
      </c>
      <c r="S231" s="414" t="s">
        <v>719</v>
      </c>
      <c r="T231" s="414" t="s">
        <v>721</v>
      </c>
    </row>
    <row r="232">
      <c r="A232" s="842" t="s">
        <v>2009</v>
      </c>
      <c r="B232" s="427" t="s">
        <v>265</v>
      </c>
      <c r="C232" s="427" t="s">
        <v>2010</v>
      </c>
      <c r="D232" s="479">
        <v>187000.0</v>
      </c>
      <c r="E232" s="427" t="s">
        <v>77</v>
      </c>
      <c r="F232" s="479">
        <v>93000.0</v>
      </c>
      <c r="G232" s="479">
        <v>8500.0</v>
      </c>
      <c r="H232" s="427" t="s">
        <v>880</v>
      </c>
      <c r="I232" s="427" t="s">
        <v>880</v>
      </c>
      <c r="J232" s="479">
        <v>178500.0</v>
      </c>
      <c r="K232" s="427" t="s">
        <v>880</v>
      </c>
      <c r="L232" s="468" t="s">
        <v>2011</v>
      </c>
      <c r="M232" s="427" t="s">
        <v>880</v>
      </c>
      <c r="N232" s="427" t="s">
        <v>773</v>
      </c>
      <c r="O232" s="427" t="s">
        <v>2012</v>
      </c>
      <c r="P232" s="427" t="s">
        <v>773</v>
      </c>
      <c r="Q232" s="427" t="s">
        <v>880</v>
      </c>
      <c r="R232" s="427" t="s">
        <v>777</v>
      </c>
      <c r="S232" s="843" t="s">
        <v>2013</v>
      </c>
      <c r="T232" s="844">
        <v>46110.0</v>
      </c>
      <c r="U232" s="834" t="s">
        <v>278</v>
      </c>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c r="AV232" s="51"/>
      <c r="AW232" s="51"/>
      <c r="AX232" s="51"/>
    </row>
    <row r="233">
      <c r="N233" s="7"/>
    </row>
    <row r="234">
      <c r="C234" s="558" t="s">
        <v>1394</v>
      </c>
      <c r="N234" s="7"/>
    </row>
    <row r="235">
      <c r="C235" s="24" t="s">
        <v>2014</v>
      </c>
      <c r="N235" s="7"/>
    </row>
    <row r="236">
      <c r="C236" s="219" t="s">
        <v>2015</v>
      </c>
      <c r="N236" s="7"/>
    </row>
    <row r="237">
      <c r="N237" s="7"/>
    </row>
    <row r="238">
      <c r="B238" s="845" t="s">
        <v>2016</v>
      </c>
      <c r="C238" s="450"/>
      <c r="D238" s="450"/>
      <c r="E238" s="450"/>
      <c r="F238" s="450"/>
      <c r="G238" s="450"/>
      <c r="H238" s="450"/>
      <c r="I238" s="450"/>
      <c r="J238" s="450"/>
      <c r="K238" s="450"/>
      <c r="L238" s="450"/>
      <c r="M238" s="450"/>
      <c r="N238" s="450"/>
      <c r="O238" s="450"/>
      <c r="P238" s="450"/>
      <c r="Q238" s="450"/>
      <c r="R238" s="450"/>
      <c r="S238" s="450"/>
      <c r="T238" s="450"/>
      <c r="U238" s="846"/>
    </row>
    <row r="239">
      <c r="A239" s="26" t="s">
        <v>10</v>
      </c>
      <c r="B239" s="308" t="s">
        <v>13</v>
      </c>
      <c r="C239" s="311" t="s">
        <v>11</v>
      </c>
      <c r="D239" s="312" t="s">
        <v>693</v>
      </c>
      <c r="E239" s="847" t="s">
        <v>15</v>
      </c>
      <c r="F239" s="308" t="s">
        <v>698</v>
      </c>
      <c r="G239" s="308" t="s">
        <v>911</v>
      </c>
      <c r="H239" s="308" t="s">
        <v>700</v>
      </c>
      <c r="I239" s="308" t="s">
        <v>701</v>
      </c>
      <c r="J239" s="308" t="s">
        <v>704</v>
      </c>
      <c r="K239" s="848" t="s">
        <v>706</v>
      </c>
      <c r="L239" s="308" t="s">
        <v>707</v>
      </c>
      <c r="M239" s="308" t="s">
        <v>709</v>
      </c>
      <c r="N239" s="308" t="s">
        <v>710</v>
      </c>
      <c r="O239" s="308" t="s">
        <v>711</v>
      </c>
      <c r="P239" s="308" t="s">
        <v>712</v>
      </c>
      <c r="Q239" s="308" t="s">
        <v>714</v>
      </c>
      <c r="R239" s="308" t="s">
        <v>717</v>
      </c>
      <c r="S239" s="308" t="s">
        <v>719</v>
      </c>
      <c r="T239" s="308" t="s">
        <v>721</v>
      </c>
      <c r="U239" s="31"/>
      <c r="V239" s="31"/>
      <c r="W239" s="31"/>
      <c r="X239" s="31"/>
      <c r="Y239" s="31"/>
      <c r="Z239" s="31"/>
      <c r="AA239" s="31"/>
      <c r="AB239" s="31"/>
      <c r="AC239" s="31"/>
      <c r="AD239" s="31"/>
      <c r="AE239" s="31"/>
      <c r="AF239" s="31"/>
      <c r="AG239" s="31"/>
      <c r="AH239" s="31"/>
      <c r="AI239" s="31"/>
      <c r="AJ239" s="31"/>
      <c r="AK239" s="31"/>
      <c r="AL239" s="31"/>
      <c r="AM239" s="31"/>
      <c r="AN239" s="31"/>
      <c r="AO239" s="31"/>
      <c r="AP239" s="31"/>
      <c r="AQ239" s="31"/>
      <c r="AR239" s="31"/>
      <c r="AS239" s="31"/>
      <c r="AT239" s="31"/>
      <c r="AU239" s="31"/>
      <c r="AV239" s="31"/>
      <c r="AW239" s="31"/>
      <c r="AX239" s="31"/>
    </row>
    <row r="240">
      <c r="A240" s="849">
        <v>46047.0</v>
      </c>
      <c r="B240" s="475" t="s">
        <v>273</v>
      </c>
      <c r="C240" s="475" t="s">
        <v>2017</v>
      </c>
      <c r="D240" s="835">
        <v>183000.0</v>
      </c>
      <c r="E240" s="475" t="s">
        <v>77</v>
      </c>
      <c r="F240" s="427" t="s">
        <v>880</v>
      </c>
      <c r="G240" s="427" t="s">
        <v>880</v>
      </c>
      <c r="H240" s="427" t="s">
        <v>880</v>
      </c>
      <c r="I240" s="427" t="s">
        <v>880</v>
      </c>
      <c r="J240" s="355">
        <f t="shared" ref="J240:J242" si="15">D240</f>
        <v>183000</v>
      </c>
      <c r="K240" s="427" t="s">
        <v>880</v>
      </c>
      <c r="L240" s="850" t="s">
        <v>380</v>
      </c>
      <c r="M240" s="427" t="s">
        <v>880</v>
      </c>
      <c r="N240" s="475" t="s">
        <v>1185</v>
      </c>
      <c r="O240" s="475" t="s">
        <v>2018</v>
      </c>
      <c r="P240" s="475" t="s">
        <v>773</v>
      </c>
      <c r="Q240" s="427" t="s">
        <v>880</v>
      </c>
      <c r="R240" s="475" t="s">
        <v>777</v>
      </c>
      <c r="S240" s="476"/>
      <c r="T240" s="470">
        <v>46053.0</v>
      </c>
      <c r="U240" s="834" t="s">
        <v>278</v>
      </c>
    </row>
    <row r="241">
      <c r="A241" s="849">
        <v>46048.0</v>
      </c>
      <c r="B241" s="475" t="s">
        <v>2019</v>
      </c>
      <c r="C241" s="475" t="s">
        <v>2020</v>
      </c>
      <c r="D241" s="835">
        <v>183000.0</v>
      </c>
      <c r="E241" s="475" t="s">
        <v>77</v>
      </c>
      <c r="F241" s="427" t="s">
        <v>880</v>
      </c>
      <c r="G241" s="427" t="s">
        <v>880</v>
      </c>
      <c r="H241" s="427" t="s">
        <v>880</v>
      </c>
      <c r="I241" s="427" t="s">
        <v>880</v>
      </c>
      <c r="J241" s="355">
        <f t="shared" si="15"/>
        <v>183000</v>
      </c>
      <c r="K241" s="427" t="s">
        <v>880</v>
      </c>
      <c r="L241" s="474" t="s">
        <v>389</v>
      </c>
      <c r="M241" s="427" t="s">
        <v>880</v>
      </c>
      <c r="N241" s="475" t="s">
        <v>1185</v>
      </c>
      <c r="O241" s="475" t="s">
        <v>2018</v>
      </c>
      <c r="P241" s="475" t="s">
        <v>773</v>
      </c>
      <c r="Q241" s="427" t="s">
        <v>880</v>
      </c>
      <c r="R241" s="475">
        <v>10.0</v>
      </c>
      <c r="S241" s="476"/>
      <c r="T241" s="470">
        <v>46053.0</v>
      </c>
    </row>
    <row r="242">
      <c r="A242" s="851">
        <v>46061.0</v>
      </c>
      <c r="B242" s="501" t="s">
        <v>466</v>
      </c>
      <c r="C242" s="501" t="s">
        <v>2021</v>
      </c>
      <c r="D242" s="852">
        <v>175000.0</v>
      </c>
      <c r="E242" s="501" t="s">
        <v>77</v>
      </c>
      <c r="F242" s="482" t="s">
        <v>880</v>
      </c>
      <c r="G242" s="482" t="s">
        <v>880</v>
      </c>
      <c r="H242" s="482" t="s">
        <v>880</v>
      </c>
      <c r="I242" s="482" t="s">
        <v>880</v>
      </c>
      <c r="J242" s="355">
        <f t="shared" si="15"/>
        <v>175000</v>
      </c>
      <c r="K242" s="501" t="s">
        <v>880</v>
      </c>
      <c r="L242" s="853" t="s">
        <v>2022</v>
      </c>
      <c r="M242" s="482" t="s">
        <v>880</v>
      </c>
      <c r="N242" s="501" t="s">
        <v>773</v>
      </c>
      <c r="O242" s="501" t="s">
        <v>2023</v>
      </c>
      <c r="P242" s="501" t="s">
        <v>773</v>
      </c>
      <c r="Q242" s="501" t="s">
        <v>773</v>
      </c>
      <c r="R242" s="501">
        <v>10.0</v>
      </c>
      <c r="S242" s="502"/>
      <c r="T242" s="481">
        <v>46069.0</v>
      </c>
      <c r="U242" s="834" t="s">
        <v>1887</v>
      </c>
    </row>
    <row r="243">
      <c r="N243" s="7"/>
      <c r="U243" s="834"/>
    </row>
    <row r="244">
      <c r="C244" s="558" t="s">
        <v>1394</v>
      </c>
      <c r="N244" s="7"/>
    </row>
    <row r="245">
      <c r="C245" s="24" t="s">
        <v>2024</v>
      </c>
      <c r="N245" s="7"/>
    </row>
    <row r="246">
      <c r="C246" s="219" t="s">
        <v>2025</v>
      </c>
      <c r="N246" s="7"/>
    </row>
    <row r="247">
      <c r="N247" s="7"/>
    </row>
    <row r="248">
      <c r="B248" s="360" t="s">
        <v>1096</v>
      </c>
      <c r="C248" s="4"/>
      <c r="D248" s="4"/>
      <c r="E248" s="4"/>
      <c r="F248" s="4"/>
      <c r="G248" s="4"/>
      <c r="H248" s="4"/>
      <c r="I248" s="4"/>
      <c r="J248" s="4"/>
      <c r="K248" s="4"/>
      <c r="L248" s="4"/>
      <c r="M248" s="4"/>
      <c r="N248" s="4"/>
      <c r="O248" s="4"/>
      <c r="P248" s="4"/>
      <c r="Q248" s="4"/>
      <c r="R248" s="4"/>
      <c r="S248" s="4"/>
      <c r="T248" s="4"/>
      <c r="U248" s="6"/>
    </row>
    <row r="249">
      <c r="A249" s="26" t="s">
        <v>10</v>
      </c>
      <c r="B249" s="414" t="s">
        <v>13</v>
      </c>
      <c r="C249" s="416" t="s">
        <v>11</v>
      </c>
      <c r="D249" s="417" t="s">
        <v>693</v>
      </c>
      <c r="E249" s="419" t="s">
        <v>15</v>
      </c>
      <c r="F249" s="414" t="s">
        <v>698</v>
      </c>
      <c r="G249" s="414" t="s">
        <v>911</v>
      </c>
      <c r="H249" s="414" t="s">
        <v>700</v>
      </c>
      <c r="I249" s="414" t="s">
        <v>701</v>
      </c>
      <c r="J249" s="414" t="s">
        <v>704</v>
      </c>
      <c r="K249" s="414" t="s">
        <v>706</v>
      </c>
      <c r="L249" s="414" t="s">
        <v>707</v>
      </c>
      <c r="M249" s="414" t="s">
        <v>709</v>
      </c>
      <c r="N249" s="414" t="s">
        <v>710</v>
      </c>
      <c r="O249" s="414" t="s">
        <v>711</v>
      </c>
      <c r="P249" s="414" t="s">
        <v>712</v>
      </c>
      <c r="Q249" s="414" t="s">
        <v>714</v>
      </c>
      <c r="R249" s="414" t="s">
        <v>717</v>
      </c>
      <c r="S249" s="414" t="s">
        <v>719</v>
      </c>
      <c r="T249" s="414" t="s">
        <v>721</v>
      </c>
      <c r="U249" s="1"/>
    </row>
    <row r="250">
      <c r="A250" s="854">
        <v>46025.0</v>
      </c>
      <c r="B250" s="855" t="s">
        <v>1557</v>
      </c>
      <c r="C250" s="856" t="s">
        <v>2026</v>
      </c>
      <c r="D250" s="857">
        <v>30000.0</v>
      </c>
      <c r="E250" s="856" t="s">
        <v>2027</v>
      </c>
      <c r="F250" s="856" t="s">
        <v>2027</v>
      </c>
      <c r="G250" s="857">
        <v>27000.0</v>
      </c>
      <c r="H250" s="856" t="s">
        <v>2027</v>
      </c>
      <c r="I250" s="857">
        <v>3000.0</v>
      </c>
      <c r="J250" s="857">
        <v>3000.0</v>
      </c>
      <c r="K250" s="856" t="s">
        <v>2027</v>
      </c>
      <c r="L250" s="856" t="s">
        <v>2027</v>
      </c>
      <c r="M250" s="856" t="s">
        <v>2027</v>
      </c>
      <c r="N250" s="856" t="s">
        <v>2027</v>
      </c>
      <c r="O250" s="856" t="s">
        <v>2027</v>
      </c>
      <c r="P250" s="856" t="s">
        <v>2027</v>
      </c>
      <c r="Q250" s="856" t="s">
        <v>2027</v>
      </c>
      <c r="R250" s="856" t="s">
        <v>2027</v>
      </c>
      <c r="S250" s="855" t="s">
        <v>2027</v>
      </c>
      <c r="T250" s="427" t="s">
        <v>2027</v>
      </c>
      <c r="U250" s="427" t="s">
        <v>2027</v>
      </c>
      <c r="V250" s="858" t="s">
        <v>2028</v>
      </c>
      <c r="W250" s="89"/>
      <c r="X250" s="89"/>
      <c r="Y250" s="89"/>
      <c r="Z250" s="89"/>
      <c r="AA250" s="89"/>
      <c r="AB250" s="89"/>
      <c r="AC250" s="89"/>
      <c r="AD250" s="89"/>
      <c r="AE250" s="89"/>
      <c r="AF250" s="89"/>
      <c r="AG250" s="89"/>
      <c r="AH250" s="89"/>
      <c r="AI250" s="89"/>
      <c r="AJ250" s="89"/>
      <c r="AK250" s="89"/>
      <c r="AL250" s="89"/>
      <c r="AM250" s="89"/>
      <c r="AN250" s="89"/>
      <c r="AO250" s="89"/>
      <c r="AP250" s="89"/>
      <c r="AQ250" s="89"/>
      <c r="AR250" s="89"/>
      <c r="AS250" s="89"/>
      <c r="AT250" s="89"/>
      <c r="AU250" s="89"/>
      <c r="AV250" s="89"/>
      <c r="AW250" s="89"/>
      <c r="AX250" s="89"/>
    </row>
    <row r="251">
      <c r="A251" s="854">
        <v>46034.0</v>
      </c>
      <c r="B251" s="859" t="s">
        <v>1594</v>
      </c>
      <c r="C251" s="69" t="s">
        <v>2029</v>
      </c>
      <c r="D251" s="857">
        <v>87000.0</v>
      </c>
      <c r="E251" s="856" t="s">
        <v>2027</v>
      </c>
      <c r="F251" s="856" t="s">
        <v>2027</v>
      </c>
      <c r="G251" s="856" t="s">
        <v>2027</v>
      </c>
      <c r="H251" s="856" t="s">
        <v>2027</v>
      </c>
      <c r="I251" s="856" t="s">
        <v>2027</v>
      </c>
      <c r="J251" s="857">
        <v>87000.0</v>
      </c>
      <c r="K251" s="856" t="s">
        <v>2027</v>
      </c>
      <c r="L251" s="860" t="s">
        <v>2030</v>
      </c>
      <c r="M251" s="856" t="s">
        <v>2027</v>
      </c>
      <c r="N251" s="856" t="s">
        <v>2027</v>
      </c>
      <c r="O251" s="856" t="s">
        <v>2027</v>
      </c>
      <c r="P251" s="856" t="s">
        <v>2027</v>
      </c>
      <c r="Q251" s="856" t="s">
        <v>2027</v>
      </c>
      <c r="R251" s="856" t="s">
        <v>2027</v>
      </c>
      <c r="S251" s="855" t="s">
        <v>2027</v>
      </c>
      <c r="T251" s="427" t="s">
        <v>2027</v>
      </c>
      <c r="U251" s="427" t="s">
        <v>2027</v>
      </c>
      <c r="V251" s="71"/>
      <c r="W251" s="89"/>
      <c r="X251" s="89"/>
      <c r="Y251" s="89"/>
      <c r="Z251" s="89"/>
      <c r="AA251" s="89"/>
      <c r="AB251" s="89"/>
      <c r="AC251" s="89"/>
      <c r="AD251" s="89"/>
      <c r="AE251" s="89"/>
      <c r="AF251" s="89"/>
      <c r="AG251" s="89"/>
      <c r="AH251" s="89"/>
      <c r="AI251" s="89"/>
      <c r="AJ251" s="89"/>
      <c r="AK251" s="89"/>
      <c r="AL251" s="89"/>
      <c r="AM251" s="89"/>
      <c r="AN251" s="89"/>
      <c r="AO251" s="89"/>
      <c r="AP251" s="89"/>
      <c r="AQ251" s="89"/>
      <c r="AR251" s="89"/>
      <c r="AS251" s="89"/>
      <c r="AT251" s="89"/>
      <c r="AU251" s="89"/>
      <c r="AV251" s="89"/>
      <c r="AW251" s="89"/>
      <c r="AX251" s="89"/>
    </row>
    <row r="252">
      <c r="A252" s="854">
        <v>46043.0</v>
      </c>
      <c r="B252" s="859" t="s">
        <v>2031</v>
      </c>
      <c r="C252" s="856" t="s">
        <v>2032</v>
      </c>
      <c r="D252" s="857">
        <v>159000.0</v>
      </c>
      <c r="E252" s="856" t="s">
        <v>2027</v>
      </c>
      <c r="F252" s="855" t="s">
        <v>2033</v>
      </c>
      <c r="G252" s="856" t="s">
        <v>880</v>
      </c>
      <c r="H252" s="856" t="s">
        <v>880</v>
      </c>
      <c r="I252" s="856" t="s">
        <v>880</v>
      </c>
      <c r="J252" s="857">
        <v>159000.0</v>
      </c>
      <c r="K252" s="856" t="s">
        <v>773</v>
      </c>
      <c r="L252" s="860" t="s">
        <v>2034</v>
      </c>
      <c r="M252" s="856" t="s">
        <v>773</v>
      </c>
      <c r="N252" s="856" t="s">
        <v>2027</v>
      </c>
      <c r="O252" s="856" t="s">
        <v>2035</v>
      </c>
      <c r="P252" s="856" t="s">
        <v>2027</v>
      </c>
      <c r="Q252" s="856" t="s">
        <v>2027</v>
      </c>
      <c r="R252" s="856" t="s">
        <v>2027</v>
      </c>
      <c r="S252" s="855" t="s">
        <v>2036</v>
      </c>
      <c r="T252" s="856"/>
      <c r="U252" s="856"/>
      <c r="V252" s="71"/>
      <c r="W252" s="89"/>
      <c r="X252" s="89"/>
      <c r="Y252" s="89"/>
      <c r="Z252" s="89"/>
      <c r="AA252" s="89"/>
      <c r="AB252" s="89"/>
      <c r="AC252" s="89"/>
      <c r="AD252" s="89"/>
      <c r="AE252" s="89"/>
      <c r="AF252" s="89"/>
      <c r="AG252" s="89"/>
      <c r="AH252" s="89"/>
      <c r="AI252" s="89"/>
      <c r="AJ252" s="89"/>
      <c r="AK252" s="89"/>
      <c r="AL252" s="89"/>
      <c r="AM252" s="89"/>
      <c r="AN252" s="89"/>
      <c r="AO252" s="89"/>
      <c r="AP252" s="89"/>
      <c r="AQ252" s="89"/>
      <c r="AR252" s="89"/>
      <c r="AS252" s="89"/>
      <c r="AT252" s="89"/>
      <c r="AU252" s="89"/>
      <c r="AV252" s="89"/>
      <c r="AW252" s="89"/>
      <c r="AX252" s="89"/>
    </row>
    <row r="253">
      <c r="A253" s="854">
        <v>46101.0</v>
      </c>
      <c r="B253" s="855" t="s">
        <v>2037</v>
      </c>
      <c r="C253" s="65" t="s">
        <v>2038</v>
      </c>
      <c r="D253" s="857">
        <v>40000.0</v>
      </c>
      <c r="E253" s="856" t="s">
        <v>77</v>
      </c>
      <c r="F253" s="856" t="s">
        <v>880</v>
      </c>
      <c r="G253" s="856" t="s">
        <v>880</v>
      </c>
      <c r="H253" s="856" t="s">
        <v>880</v>
      </c>
      <c r="I253" s="856" t="s">
        <v>880</v>
      </c>
      <c r="J253" s="861">
        <f t="shared" ref="J253:J257" si="16">D253</f>
        <v>40000</v>
      </c>
      <c r="K253" s="856" t="s">
        <v>880</v>
      </c>
      <c r="L253" s="856" t="s">
        <v>880</v>
      </c>
      <c r="M253" s="856" t="s">
        <v>880</v>
      </c>
      <c r="N253" s="856" t="s">
        <v>880</v>
      </c>
      <c r="O253" s="856" t="s">
        <v>880</v>
      </c>
      <c r="P253" s="856" t="s">
        <v>880</v>
      </c>
      <c r="Q253" s="856" t="s">
        <v>880</v>
      </c>
      <c r="R253" s="856" t="s">
        <v>880</v>
      </c>
      <c r="S253" s="855" t="s">
        <v>880</v>
      </c>
      <c r="T253" s="854">
        <v>46069.0</v>
      </c>
      <c r="U253" s="862" t="s">
        <v>452</v>
      </c>
      <c r="V253" s="71"/>
      <c r="W253" s="89"/>
      <c r="X253" s="89"/>
      <c r="Y253" s="89"/>
      <c r="Z253" s="89"/>
      <c r="AA253" s="89"/>
      <c r="AB253" s="89"/>
      <c r="AC253" s="89"/>
      <c r="AD253" s="89"/>
      <c r="AE253" s="89"/>
      <c r="AF253" s="89"/>
      <c r="AG253" s="89"/>
      <c r="AH253" s="89"/>
      <c r="AI253" s="89"/>
      <c r="AJ253" s="89"/>
      <c r="AK253" s="89"/>
      <c r="AL253" s="89"/>
      <c r="AM253" s="89"/>
      <c r="AN253" s="89"/>
      <c r="AO253" s="89"/>
      <c r="AP253" s="89"/>
      <c r="AQ253" s="89"/>
      <c r="AR253" s="89"/>
      <c r="AS253" s="89"/>
      <c r="AT253" s="89"/>
      <c r="AU253" s="89"/>
      <c r="AV253" s="89"/>
      <c r="AW253" s="89"/>
      <c r="AX253" s="89"/>
    </row>
    <row r="254">
      <c r="A254" s="854">
        <v>46046.0</v>
      </c>
      <c r="B254" s="855" t="s">
        <v>348</v>
      </c>
      <c r="C254" s="65" t="s">
        <v>2039</v>
      </c>
      <c r="D254" s="857">
        <v>60000.0</v>
      </c>
      <c r="E254" s="856" t="s">
        <v>77</v>
      </c>
      <c r="F254" s="856" t="s">
        <v>880</v>
      </c>
      <c r="G254" s="856" t="s">
        <v>880</v>
      </c>
      <c r="H254" s="856" t="s">
        <v>880</v>
      </c>
      <c r="I254" s="857">
        <v>36000.0</v>
      </c>
      <c r="J254" s="861">
        <f t="shared" si="16"/>
        <v>60000</v>
      </c>
      <c r="K254" s="856" t="s">
        <v>880</v>
      </c>
      <c r="L254" s="860" t="s">
        <v>2040</v>
      </c>
      <c r="M254" s="856" t="s">
        <v>880</v>
      </c>
      <c r="N254" s="856" t="s">
        <v>777</v>
      </c>
      <c r="O254" s="856" t="s">
        <v>2041</v>
      </c>
      <c r="P254" s="856" t="s">
        <v>773</v>
      </c>
      <c r="Q254" s="856" t="s">
        <v>880</v>
      </c>
      <c r="R254" s="856">
        <v>10.0</v>
      </c>
      <c r="S254" s="855" t="s">
        <v>880</v>
      </c>
      <c r="T254" s="854">
        <v>46069.0</v>
      </c>
      <c r="U254" s="862" t="s">
        <v>262</v>
      </c>
      <c r="V254" s="71"/>
      <c r="W254" s="89"/>
      <c r="X254" s="89"/>
      <c r="Y254" s="89"/>
      <c r="Z254" s="89"/>
      <c r="AA254" s="89"/>
      <c r="AB254" s="89"/>
      <c r="AC254" s="89"/>
      <c r="AD254" s="89"/>
      <c r="AE254" s="89"/>
      <c r="AF254" s="89"/>
      <c r="AG254" s="89"/>
      <c r="AH254" s="89"/>
      <c r="AI254" s="89"/>
      <c r="AJ254" s="89"/>
      <c r="AK254" s="89"/>
      <c r="AL254" s="89"/>
      <c r="AM254" s="89"/>
      <c r="AN254" s="89"/>
      <c r="AO254" s="89"/>
      <c r="AP254" s="89"/>
      <c r="AQ254" s="89"/>
      <c r="AR254" s="89"/>
      <c r="AS254" s="89"/>
      <c r="AT254" s="89"/>
      <c r="AU254" s="89"/>
      <c r="AV254" s="89"/>
      <c r="AW254" s="89"/>
      <c r="AX254" s="89"/>
    </row>
    <row r="255">
      <c r="A255" s="854">
        <v>46050.0</v>
      </c>
      <c r="B255" s="859" t="s">
        <v>687</v>
      </c>
      <c r="C255" s="863" t="s">
        <v>2042</v>
      </c>
      <c r="D255" s="857">
        <v>65000.0</v>
      </c>
      <c r="E255" s="856" t="s">
        <v>77</v>
      </c>
      <c r="F255" s="856" t="s">
        <v>880</v>
      </c>
      <c r="G255" s="856" t="s">
        <v>880</v>
      </c>
      <c r="H255" s="856" t="s">
        <v>880</v>
      </c>
      <c r="I255" s="856" t="s">
        <v>880</v>
      </c>
      <c r="J255" s="861">
        <f t="shared" si="16"/>
        <v>65000</v>
      </c>
      <c r="K255" s="856" t="s">
        <v>773</v>
      </c>
      <c r="L255" s="860" t="s">
        <v>2043</v>
      </c>
      <c r="M255" s="856" t="s">
        <v>880</v>
      </c>
      <c r="N255" s="856" t="s">
        <v>777</v>
      </c>
      <c r="O255" s="856" t="s">
        <v>2044</v>
      </c>
      <c r="P255" s="856" t="s">
        <v>773</v>
      </c>
      <c r="Q255" s="856" t="s">
        <v>880</v>
      </c>
      <c r="R255" s="856">
        <v>9.0</v>
      </c>
      <c r="S255" s="855" t="s">
        <v>2045</v>
      </c>
      <c r="T255" s="854">
        <v>46069.0</v>
      </c>
      <c r="U255" s="862" t="s">
        <v>89</v>
      </c>
      <c r="V255" s="96"/>
      <c r="W255" s="89"/>
      <c r="X255" s="89"/>
      <c r="Y255" s="89"/>
      <c r="Z255" s="89"/>
      <c r="AA255" s="89"/>
      <c r="AB255" s="89"/>
      <c r="AC255" s="89"/>
      <c r="AD255" s="89"/>
      <c r="AE255" s="89"/>
      <c r="AF255" s="89"/>
      <c r="AG255" s="89"/>
      <c r="AH255" s="89"/>
      <c r="AI255" s="89"/>
      <c r="AJ255" s="89"/>
      <c r="AK255" s="89"/>
      <c r="AL255" s="89"/>
      <c r="AM255" s="89"/>
      <c r="AN255" s="89"/>
      <c r="AO255" s="89"/>
      <c r="AP255" s="89"/>
      <c r="AQ255" s="89"/>
      <c r="AR255" s="89"/>
      <c r="AS255" s="89"/>
      <c r="AT255" s="89"/>
      <c r="AU255" s="89"/>
      <c r="AV255" s="89"/>
      <c r="AW255" s="89"/>
      <c r="AX255" s="89"/>
    </row>
    <row r="256">
      <c r="A256" s="62">
        <v>46057.0</v>
      </c>
      <c r="B256" s="864" t="s">
        <v>452</v>
      </c>
      <c r="C256" s="65" t="s">
        <v>2046</v>
      </c>
      <c r="D256" s="865">
        <v>60000.0</v>
      </c>
      <c r="E256" s="864" t="s">
        <v>77</v>
      </c>
      <c r="F256" s="864" t="s">
        <v>880</v>
      </c>
      <c r="G256" s="864" t="s">
        <v>880</v>
      </c>
      <c r="H256" s="864" t="s">
        <v>880</v>
      </c>
      <c r="I256" s="864" t="s">
        <v>880</v>
      </c>
      <c r="J256" s="866">
        <f t="shared" si="16"/>
        <v>60000</v>
      </c>
      <c r="K256" s="867" t="s">
        <v>773</v>
      </c>
      <c r="L256" s="868" t="s">
        <v>2047</v>
      </c>
      <c r="M256" s="867" t="s">
        <v>880</v>
      </c>
      <c r="N256" s="867" t="s">
        <v>777</v>
      </c>
      <c r="O256" s="867" t="s">
        <v>2048</v>
      </c>
      <c r="P256" s="867" t="s">
        <v>773</v>
      </c>
      <c r="Q256" s="867" t="s">
        <v>880</v>
      </c>
      <c r="R256" s="867" t="s">
        <v>777</v>
      </c>
      <c r="S256" s="869" t="s">
        <v>880</v>
      </c>
      <c r="T256" s="62">
        <v>46069.0</v>
      </c>
      <c r="U256" s="870" t="s">
        <v>412</v>
      </c>
      <c r="V256" s="858" t="s">
        <v>446</v>
      </c>
    </row>
    <row r="257">
      <c r="A257" s="62">
        <v>46059.0</v>
      </c>
      <c r="B257" s="864" t="s">
        <v>262</v>
      </c>
      <c r="C257" s="65" t="s">
        <v>2049</v>
      </c>
      <c r="D257" s="865">
        <v>66000.0</v>
      </c>
      <c r="E257" s="864" t="s">
        <v>77</v>
      </c>
      <c r="F257" s="865">
        <v>54000.0</v>
      </c>
      <c r="G257" s="864" t="s">
        <v>880</v>
      </c>
      <c r="H257" s="864" t="s">
        <v>880</v>
      </c>
      <c r="I257" s="864" t="s">
        <v>880</v>
      </c>
      <c r="J257" s="866">
        <f t="shared" si="16"/>
        <v>66000</v>
      </c>
      <c r="K257" s="864" t="s">
        <v>773</v>
      </c>
      <c r="L257" s="871" t="s">
        <v>2050</v>
      </c>
      <c r="M257" s="864" t="s">
        <v>773</v>
      </c>
      <c r="N257" s="864" t="s">
        <v>777</v>
      </c>
      <c r="O257" s="864"/>
      <c r="P257" s="864" t="s">
        <v>773</v>
      </c>
      <c r="Q257" s="864" t="s">
        <v>880</v>
      </c>
      <c r="R257" s="864">
        <v>10.0</v>
      </c>
      <c r="S257" s="872" t="s">
        <v>2051</v>
      </c>
      <c r="T257" s="62">
        <v>46069.0</v>
      </c>
      <c r="U257" s="873" t="s">
        <v>2052</v>
      </c>
      <c r="V257" s="71"/>
      <c r="W257" s="31"/>
      <c r="X257" s="31"/>
      <c r="Y257" s="31"/>
      <c r="Z257" s="31"/>
      <c r="AA257" s="31"/>
      <c r="AB257" s="31"/>
      <c r="AC257" s="31"/>
      <c r="AD257" s="31"/>
      <c r="AE257" s="31"/>
      <c r="AF257" s="31"/>
      <c r="AG257" s="31"/>
      <c r="AH257" s="31"/>
      <c r="AI257" s="31"/>
      <c r="AJ257" s="31"/>
      <c r="AK257" s="31"/>
      <c r="AL257" s="31"/>
      <c r="AM257" s="31"/>
      <c r="AN257" s="31"/>
      <c r="AO257" s="31"/>
      <c r="AP257" s="31"/>
      <c r="AQ257" s="31"/>
      <c r="AR257" s="31"/>
      <c r="AS257" s="31"/>
      <c r="AT257" s="31"/>
      <c r="AU257" s="31"/>
      <c r="AV257" s="31"/>
      <c r="AW257" s="31"/>
      <c r="AX257" s="31"/>
    </row>
    <row r="258">
      <c r="A258" s="62">
        <v>46060.0</v>
      </c>
      <c r="B258" s="864" t="s">
        <v>423</v>
      </c>
      <c r="C258" s="65" t="s">
        <v>2053</v>
      </c>
      <c r="D258" s="865">
        <v>66000.0</v>
      </c>
      <c r="E258" s="864" t="s">
        <v>77</v>
      </c>
      <c r="F258" s="865">
        <v>54000.0</v>
      </c>
      <c r="G258" s="865">
        <f>F258-44000</f>
        <v>10000</v>
      </c>
      <c r="H258" s="864" t="s">
        <v>880</v>
      </c>
      <c r="I258" s="864" t="s">
        <v>880</v>
      </c>
      <c r="J258" s="866">
        <f>D258-G258</f>
        <v>56000</v>
      </c>
      <c r="K258" s="867" t="s">
        <v>773</v>
      </c>
      <c r="L258" s="868" t="s">
        <v>2054</v>
      </c>
      <c r="M258" s="867" t="s">
        <v>773</v>
      </c>
      <c r="N258" s="867" t="s">
        <v>777</v>
      </c>
      <c r="O258" s="867" t="s">
        <v>2055</v>
      </c>
      <c r="P258" s="867" t="s">
        <v>773</v>
      </c>
      <c r="Q258" s="867" t="s">
        <v>880</v>
      </c>
      <c r="R258" s="867" t="s">
        <v>777</v>
      </c>
      <c r="S258" s="869" t="s">
        <v>880</v>
      </c>
      <c r="T258" s="62">
        <v>46069.0</v>
      </c>
      <c r="U258" s="870" t="s">
        <v>475</v>
      </c>
      <c r="V258" s="71"/>
    </row>
    <row r="259">
      <c r="A259" s="874">
        <v>46061.0</v>
      </c>
      <c r="B259" s="864" t="s">
        <v>89</v>
      </c>
      <c r="C259" s="65" t="s">
        <v>2056</v>
      </c>
      <c r="D259" s="37">
        <v>72000.0</v>
      </c>
      <c r="E259" s="35" t="s">
        <v>77</v>
      </c>
      <c r="F259" s="37">
        <v>46000.0</v>
      </c>
      <c r="G259" s="35" t="s">
        <v>880</v>
      </c>
      <c r="H259" s="37">
        <v>16600.0</v>
      </c>
      <c r="I259" s="864" t="s">
        <v>880</v>
      </c>
      <c r="J259" s="866">
        <f>D259+H259</f>
        <v>88600</v>
      </c>
      <c r="K259" s="867" t="s">
        <v>773</v>
      </c>
      <c r="L259" s="868" t="s">
        <v>2057</v>
      </c>
      <c r="M259" s="867" t="s">
        <v>773</v>
      </c>
      <c r="N259" s="867" t="s">
        <v>777</v>
      </c>
      <c r="O259" s="867" t="s">
        <v>2058</v>
      </c>
      <c r="P259" s="867" t="s">
        <v>773</v>
      </c>
      <c r="Q259" s="867" t="s">
        <v>880</v>
      </c>
      <c r="R259" s="867" t="s">
        <v>777</v>
      </c>
      <c r="S259" s="869" t="s">
        <v>880</v>
      </c>
      <c r="T259" s="62">
        <v>46069.0</v>
      </c>
      <c r="U259" s="870" t="s">
        <v>423</v>
      </c>
      <c r="V259" s="71"/>
    </row>
    <row r="260">
      <c r="A260" s="62">
        <v>46063.0</v>
      </c>
      <c r="B260" s="864" t="s">
        <v>412</v>
      </c>
      <c r="C260" s="65" t="s">
        <v>2059</v>
      </c>
      <c r="D260" s="865">
        <v>60000.0</v>
      </c>
      <c r="E260" s="864" t="s">
        <v>77</v>
      </c>
      <c r="F260" s="865">
        <v>96000.0</v>
      </c>
      <c r="G260" s="865">
        <v>20000.0</v>
      </c>
      <c r="H260" s="864" t="s">
        <v>880</v>
      </c>
      <c r="I260" s="864" t="s">
        <v>880</v>
      </c>
      <c r="J260" s="866">
        <f t="shared" ref="J260:J262" si="17">D260</f>
        <v>60000</v>
      </c>
      <c r="K260" s="867" t="s">
        <v>773</v>
      </c>
      <c r="L260" s="867" t="s">
        <v>2060</v>
      </c>
      <c r="M260" s="867" t="s">
        <v>773</v>
      </c>
      <c r="N260" s="867" t="s">
        <v>777</v>
      </c>
      <c r="O260" s="867" t="s">
        <v>1033</v>
      </c>
      <c r="P260" s="867" t="s">
        <v>773</v>
      </c>
      <c r="Q260" s="867" t="s">
        <v>880</v>
      </c>
      <c r="R260" s="867">
        <v>10.0</v>
      </c>
      <c r="S260" s="869" t="s">
        <v>880</v>
      </c>
      <c r="T260" s="62">
        <v>46069.0</v>
      </c>
      <c r="U260" s="870" t="s">
        <v>2061</v>
      </c>
      <c r="V260" s="71"/>
    </row>
    <row r="261">
      <c r="A261" s="62">
        <v>46064.0</v>
      </c>
      <c r="B261" s="864" t="s">
        <v>475</v>
      </c>
      <c r="C261" s="65" t="s">
        <v>2062</v>
      </c>
      <c r="D261" s="865">
        <v>65000.0</v>
      </c>
      <c r="E261" s="864" t="s">
        <v>77</v>
      </c>
      <c r="F261" s="864" t="s">
        <v>880</v>
      </c>
      <c r="G261" s="864" t="s">
        <v>880</v>
      </c>
      <c r="H261" s="864" t="s">
        <v>880</v>
      </c>
      <c r="I261" s="864" t="s">
        <v>880</v>
      </c>
      <c r="J261" s="866">
        <f t="shared" si="17"/>
        <v>65000</v>
      </c>
      <c r="K261" s="867" t="s">
        <v>773</v>
      </c>
      <c r="L261" s="868" t="s">
        <v>2063</v>
      </c>
      <c r="M261" s="867" t="s">
        <v>880</v>
      </c>
      <c r="N261" s="867" t="s">
        <v>777</v>
      </c>
      <c r="O261" s="867"/>
      <c r="P261" s="867" t="s">
        <v>773</v>
      </c>
      <c r="Q261" s="867" t="s">
        <v>880</v>
      </c>
      <c r="R261" s="867">
        <v>10.0</v>
      </c>
      <c r="S261" s="869" t="s">
        <v>880</v>
      </c>
      <c r="T261" s="62">
        <v>46069.0</v>
      </c>
      <c r="U261" s="870" t="s">
        <v>767</v>
      </c>
      <c r="V261" s="71"/>
    </row>
    <row r="262">
      <c r="A262" s="62">
        <v>46065.0</v>
      </c>
      <c r="B262" s="864" t="s">
        <v>767</v>
      </c>
      <c r="C262" s="65" t="s">
        <v>2064</v>
      </c>
      <c r="D262" s="865">
        <v>60000.0</v>
      </c>
      <c r="E262" s="864" t="s">
        <v>77</v>
      </c>
      <c r="F262" s="865">
        <v>94000.0</v>
      </c>
      <c r="G262" s="864" t="s">
        <v>880</v>
      </c>
      <c r="H262" s="864" t="s">
        <v>880</v>
      </c>
      <c r="I262" s="864" t="s">
        <v>880</v>
      </c>
      <c r="J262" s="866">
        <f t="shared" si="17"/>
        <v>60000</v>
      </c>
      <c r="K262" s="867" t="s">
        <v>773</v>
      </c>
      <c r="L262" s="867" t="s">
        <v>2060</v>
      </c>
      <c r="M262" s="867" t="s">
        <v>773</v>
      </c>
      <c r="N262" s="867" t="s">
        <v>777</v>
      </c>
      <c r="O262" s="875"/>
      <c r="P262" s="867" t="s">
        <v>773</v>
      </c>
      <c r="Q262" s="867" t="s">
        <v>880</v>
      </c>
      <c r="R262" s="867" t="s">
        <v>777</v>
      </c>
      <c r="S262" s="869" t="s">
        <v>880</v>
      </c>
      <c r="T262" s="62">
        <v>46069.0</v>
      </c>
      <c r="U262" s="870" t="s">
        <v>139</v>
      </c>
      <c r="V262" s="71"/>
    </row>
    <row r="263">
      <c r="A263" s="62">
        <v>46070.0</v>
      </c>
      <c r="B263" s="864" t="s">
        <v>805</v>
      </c>
      <c r="C263" s="65" t="s">
        <v>2065</v>
      </c>
      <c r="D263" s="139">
        <v>50000.0</v>
      </c>
      <c r="E263" s="864" t="s">
        <v>77</v>
      </c>
      <c r="F263" s="864" t="s">
        <v>880</v>
      </c>
      <c r="G263" s="864" t="s">
        <v>880</v>
      </c>
      <c r="H263" s="864" t="s">
        <v>880</v>
      </c>
      <c r="I263" s="864" t="s">
        <v>880</v>
      </c>
      <c r="J263" s="865">
        <v>77000.0</v>
      </c>
      <c r="K263" s="876"/>
      <c r="L263" s="877" t="s">
        <v>2066</v>
      </c>
      <c r="M263" s="878"/>
      <c r="N263" s="878" t="s">
        <v>1286</v>
      </c>
      <c r="O263" s="864" t="s">
        <v>2067</v>
      </c>
      <c r="P263" s="864" t="s">
        <v>773</v>
      </c>
      <c r="Q263" s="878" t="s">
        <v>2068</v>
      </c>
      <c r="R263" s="864">
        <v>10.0</v>
      </c>
      <c r="S263" s="872" t="s">
        <v>2069</v>
      </c>
      <c r="T263" s="864" t="s">
        <v>2070</v>
      </c>
      <c r="U263" s="879"/>
      <c r="V263" s="71"/>
      <c r="W263" s="31"/>
      <c r="X263" s="31"/>
      <c r="Y263" s="31"/>
      <c r="Z263" s="31"/>
      <c r="AA263" s="31"/>
      <c r="AB263" s="31"/>
      <c r="AC263" s="31"/>
      <c r="AD263" s="31"/>
      <c r="AE263" s="31"/>
      <c r="AF263" s="31"/>
      <c r="AG263" s="31"/>
      <c r="AH263" s="31"/>
      <c r="AI263" s="31"/>
      <c r="AJ263" s="31"/>
      <c r="AK263" s="31"/>
      <c r="AL263" s="31"/>
      <c r="AM263" s="31"/>
      <c r="AN263" s="31"/>
      <c r="AO263" s="31"/>
      <c r="AP263" s="31"/>
      <c r="AQ263" s="31"/>
      <c r="AR263" s="31"/>
      <c r="AS263" s="31"/>
      <c r="AT263" s="31"/>
      <c r="AU263" s="31"/>
      <c r="AV263" s="31"/>
      <c r="AW263" s="31"/>
      <c r="AX263" s="31"/>
    </row>
    <row r="264">
      <c r="A264" s="62">
        <v>46072.0</v>
      </c>
      <c r="B264" s="864" t="s">
        <v>139</v>
      </c>
      <c r="C264" s="65" t="s">
        <v>2071</v>
      </c>
      <c r="D264" s="865">
        <v>60000.0</v>
      </c>
      <c r="E264" s="864" t="s">
        <v>77</v>
      </c>
      <c r="F264" s="880"/>
      <c r="G264" s="864" t="s">
        <v>880</v>
      </c>
      <c r="H264" s="865">
        <v>13900.0</v>
      </c>
      <c r="I264" s="864" t="s">
        <v>880</v>
      </c>
      <c r="J264" s="866">
        <v>73900.0</v>
      </c>
      <c r="K264" s="880"/>
      <c r="L264" s="877" t="s">
        <v>2072</v>
      </c>
      <c r="M264" s="864" t="s">
        <v>773</v>
      </c>
      <c r="N264" s="878" t="s">
        <v>773</v>
      </c>
      <c r="O264" s="864" t="s">
        <v>1285</v>
      </c>
      <c r="P264" s="864" t="s">
        <v>773</v>
      </c>
      <c r="Q264" s="878" t="s">
        <v>879</v>
      </c>
      <c r="R264" s="864" t="s">
        <v>777</v>
      </c>
      <c r="S264" s="872" t="s">
        <v>880</v>
      </c>
      <c r="T264" s="62">
        <v>46078.0</v>
      </c>
      <c r="U264" s="879" t="s">
        <v>484</v>
      </c>
      <c r="V264" s="71"/>
      <c r="W264" s="31"/>
      <c r="X264" s="31"/>
      <c r="Y264" s="31"/>
      <c r="Z264" s="31"/>
      <c r="AA264" s="31"/>
      <c r="AB264" s="31"/>
      <c r="AC264" s="31"/>
      <c r="AD264" s="31"/>
      <c r="AE264" s="31"/>
      <c r="AF264" s="31"/>
      <c r="AG264" s="31"/>
      <c r="AH264" s="31"/>
      <c r="AI264" s="31"/>
      <c r="AJ264" s="31"/>
      <c r="AK264" s="31"/>
      <c r="AL264" s="31"/>
      <c r="AM264" s="31"/>
      <c r="AN264" s="31"/>
      <c r="AO264" s="31"/>
      <c r="AP264" s="31"/>
      <c r="AQ264" s="31"/>
      <c r="AR264" s="31"/>
      <c r="AS264" s="31"/>
      <c r="AT264" s="31"/>
      <c r="AU264" s="31"/>
      <c r="AV264" s="31"/>
      <c r="AW264" s="31"/>
      <c r="AX264" s="31"/>
    </row>
    <row r="265">
      <c r="A265" s="62">
        <v>46073.0</v>
      </c>
      <c r="B265" s="864" t="s">
        <v>484</v>
      </c>
      <c r="C265" s="69" t="s">
        <v>2073</v>
      </c>
      <c r="D265" s="865">
        <v>50000.0</v>
      </c>
      <c r="E265" s="864" t="s">
        <v>2027</v>
      </c>
      <c r="F265" s="864" t="s">
        <v>880</v>
      </c>
      <c r="G265" s="864" t="s">
        <v>880</v>
      </c>
      <c r="H265" s="864" t="s">
        <v>880</v>
      </c>
      <c r="I265" s="864" t="s">
        <v>880</v>
      </c>
      <c r="J265" s="865">
        <v>50000.0</v>
      </c>
      <c r="K265" s="864" t="s">
        <v>880</v>
      </c>
      <c r="L265" s="877" t="s">
        <v>2074</v>
      </c>
      <c r="M265" s="864" t="s">
        <v>880</v>
      </c>
      <c r="N265" s="881" t="s">
        <v>1286</v>
      </c>
      <c r="O265" s="864" t="s">
        <v>2075</v>
      </c>
      <c r="P265" s="864" t="s">
        <v>2027</v>
      </c>
      <c r="Q265" s="864" t="s">
        <v>777</v>
      </c>
      <c r="R265" s="864" t="s">
        <v>2027</v>
      </c>
      <c r="S265" s="872" t="s">
        <v>2076</v>
      </c>
      <c r="T265" s="427" t="s">
        <v>2027</v>
      </c>
      <c r="U265" s="427" t="s">
        <v>2027</v>
      </c>
      <c r="V265" s="71"/>
    </row>
    <row r="266">
      <c r="A266" s="62">
        <v>46076.0</v>
      </c>
      <c r="B266" s="864" t="s">
        <v>2077</v>
      </c>
      <c r="C266" s="65" t="s">
        <v>2078</v>
      </c>
      <c r="D266" s="865">
        <v>71000.0</v>
      </c>
      <c r="E266" s="864" t="s">
        <v>77</v>
      </c>
      <c r="F266" s="864" t="s">
        <v>880</v>
      </c>
      <c r="G266" s="864" t="s">
        <v>880</v>
      </c>
      <c r="H266" s="864" t="s">
        <v>880</v>
      </c>
      <c r="I266" s="864" t="s">
        <v>880</v>
      </c>
      <c r="J266" s="866">
        <v>71000.0</v>
      </c>
      <c r="K266" s="882"/>
      <c r="L266" s="868" t="s">
        <v>2079</v>
      </c>
      <c r="M266" s="875"/>
      <c r="N266" s="881" t="s">
        <v>773</v>
      </c>
      <c r="O266" s="867" t="s">
        <v>1300</v>
      </c>
      <c r="P266" s="867" t="s">
        <v>773</v>
      </c>
      <c r="Q266" s="881" t="s">
        <v>879</v>
      </c>
      <c r="R266" s="881">
        <v>10.0</v>
      </c>
      <c r="S266" s="869" t="s">
        <v>880</v>
      </c>
      <c r="T266" s="864">
        <v>2.8022026E7</v>
      </c>
      <c r="U266" s="883" t="s">
        <v>2080</v>
      </c>
      <c r="V266" s="71"/>
    </row>
    <row r="267">
      <c r="A267" s="62">
        <v>46077.0</v>
      </c>
      <c r="B267" s="864" t="s">
        <v>860</v>
      </c>
      <c r="C267" s="65" t="s">
        <v>2081</v>
      </c>
      <c r="D267" s="865">
        <v>66000.0</v>
      </c>
      <c r="E267" s="864" t="s">
        <v>77</v>
      </c>
      <c r="F267" s="880"/>
      <c r="G267" s="864" t="s">
        <v>880</v>
      </c>
      <c r="H267" s="864" t="s">
        <v>880</v>
      </c>
      <c r="I267" s="864" t="s">
        <v>880</v>
      </c>
      <c r="J267" s="865">
        <v>66000.0</v>
      </c>
      <c r="K267" s="882"/>
      <c r="L267" s="867" t="s">
        <v>2060</v>
      </c>
      <c r="M267" s="875"/>
      <c r="N267" s="881" t="s">
        <v>773</v>
      </c>
      <c r="O267" s="875"/>
      <c r="P267" s="867" t="s">
        <v>773</v>
      </c>
      <c r="Q267" s="881" t="s">
        <v>879</v>
      </c>
      <c r="R267" s="881">
        <v>10.0</v>
      </c>
      <c r="S267" s="869" t="s">
        <v>880</v>
      </c>
      <c r="T267" s="864">
        <v>2.8022026E7</v>
      </c>
      <c r="U267" s="883" t="s">
        <v>2077</v>
      </c>
      <c r="V267" s="71"/>
    </row>
    <row r="268">
      <c r="A268" s="62">
        <v>46078.0</v>
      </c>
      <c r="B268" s="864" t="s">
        <v>1750</v>
      </c>
      <c r="C268" s="65" t="s">
        <v>2082</v>
      </c>
      <c r="D268" s="865">
        <v>76000.0</v>
      </c>
      <c r="E268" s="864" t="s">
        <v>77</v>
      </c>
      <c r="F268" s="864" t="s">
        <v>880</v>
      </c>
      <c r="G268" s="864" t="s">
        <v>880</v>
      </c>
      <c r="H268" s="864" t="s">
        <v>880</v>
      </c>
      <c r="I268" s="864" t="s">
        <v>880</v>
      </c>
      <c r="J268" s="865">
        <v>76000.0</v>
      </c>
      <c r="K268" s="882"/>
      <c r="L268" s="884" t="s">
        <v>2083</v>
      </c>
      <c r="M268" s="875"/>
      <c r="N268" s="881" t="s">
        <v>773</v>
      </c>
      <c r="O268" s="867" t="s">
        <v>837</v>
      </c>
      <c r="P268" s="867" t="s">
        <v>773</v>
      </c>
      <c r="Q268" s="881" t="s">
        <v>879</v>
      </c>
      <c r="R268" s="881">
        <v>10.0</v>
      </c>
      <c r="S268" s="869" t="s">
        <v>880</v>
      </c>
      <c r="T268" s="864">
        <v>2.8022026E7</v>
      </c>
      <c r="U268" s="883" t="s">
        <v>860</v>
      </c>
      <c r="V268" s="96"/>
    </row>
    <row r="269">
      <c r="A269" s="517">
        <v>46084.0</v>
      </c>
      <c r="B269" s="506" t="s">
        <v>2084</v>
      </c>
      <c r="C269" s="506" t="s">
        <v>2085</v>
      </c>
      <c r="D269" s="679">
        <v>81000.0</v>
      </c>
      <c r="E269" s="506" t="s">
        <v>77</v>
      </c>
      <c r="F269" s="679">
        <v>96000.0</v>
      </c>
      <c r="G269" s="506" t="s">
        <v>880</v>
      </c>
      <c r="H269" s="506" t="s">
        <v>880</v>
      </c>
      <c r="I269" s="506" t="s">
        <v>880</v>
      </c>
      <c r="J269" s="679">
        <v>81000.0</v>
      </c>
      <c r="K269" s="513" t="s">
        <v>773</v>
      </c>
      <c r="L269" s="533" t="s">
        <v>2086</v>
      </c>
      <c r="M269" s="513" t="s">
        <v>773</v>
      </c>
      <c r="N269" s="594" t="s">
        <v>773</v>
      </c>
      <c r="O269" s="513" t="s">
        <v>1179</v>
      </c>
      <c r="P269" s="513" t="s">
        <v>773</v>
      </c>
      <c r="Q269" s="594" t="s">
        <v>879</v>
      </c>
      <c r="R269" s="594">
        <v>10.0</v>
      </c>
      <c r="S269" s="885" t="s">
        <v>880</v>
      </c>
      <c r="T269" s="517">
        <v>46091.0</v>
      </c>
      <c r="U269" s="886" t="s">
        <v>1750</v>
      </c>
      <c r="V269" s="858" t="s">
        <v>1291</v>
      </c>
    </row>
    <row r="270">
      <c r="A270" s="517">
        <v>46090.0</v>
      </c>
      <c r="B270" s="506" t="s">
        <v>2087</v>
      </c>
      <c r="C270" s="506" t="s">
        <v>2088</v>
      </c>
      <c r="D270" s="679">
        <v>71000.0</v>
      </c>
      <c r="E270" s="506" t="s">
        <v>77</v>
      </c>
      <c r="F270" s="506" t="s">
        <v>880</v>
      </c>
      <c r="G270" s="679">
        <v>21200.0</v>
      </c>
      <c r="H270" s="506" t="s">
        <v>880</v>
      </c>
      <c r="I270" s="506" t="s">
        <v>880</v>
      </c>
      <c r="J270" s="887">
        <f>D270-G270</f>
        <v>49800</v>
      </c>
      <c r="K270" s="506" t="s">
        <v>880</v>
      </c>
      <c r="L270" s="533" t="s">
        <v>2089</v>
      </c>
      <c r="M270" s="506" t="s">
        <v>880</v>
      </c>
      <c r="N270" s="594" t="s">
        <v>773</v>
      </c>
      <c r="O270" s="513" t="s">
        <v>1198</v>
      </c>
      <c r="P270" s="513" t="s">
        <v>773</v>
      </c>
      <c r="Q270" s="594" t="s">
        <v>879</v>
      </c>
      <c r="R270" s="594">
        <v>10.0</v>
      </c>
      <c r="S270" s="885" t="s">
        <v>880</v>
      </c>
      <c r="T270" s="517">
        <v>46098.0</v>
      </c>
      <c r="U270" s="515"/>
      <c r="V270" s="71"/>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row>
    <row r="271">
      <c r="A271" s="517">
        <v>46092.0</v>
      </c>
      <c r="B271" s="506" t="s">
        <v>923</v>
      </c>
      <c r="C271" s="506" t="s">
        <v>2090</v>
      </c>
      <c r="D271" s="679">
        <v>66000.0</v>
      </c>
      <c r="E271" s="506" t="s">
        <v>77</v>
      </c>
      <c r="F271" s="679">
        <v>36000.0</v>
      </c>
      <c r="G271" s="506" t="s">
        <v>880</v>
      </c>
      <c r="H271" s="506" t="s">
        <v>880</v>
      </c>
      <c r="I271" s="506" t="s">
        <v>880</v>
      </c>
      <c r="J271" s="887">
        <f t="shared" ref="J271:J272" si="18">D271</f>
        <v>66000</v>
      </c>
      <c r="K271" s="506" t="s">
        <v>880</v>
      </c>
      <c r="L271" s="540" t="s">
        <v>2091</v>
      </c>
      <c r="M271" s="506" t="s">
        <v>880</v>
      </c>
      <c r="N271" s="607" t="s">
        <v>773</v>
      </c>
      <c r="O271" s="506" t="s">
        <v>1179</v>
      </c>
      <c r="P271" s="506" t="s">
        <v>773</v>
      </c>
      <c r="Q271" s="607" t="s">
        <v>879</v>
      </c>
      <c r="R271" s="607">
        <v>10.0</v>
      </c>
      <c r="S271" s="507" t="s">
        <v>880</v>
      </c>
      <c r="T271" s="517">
        <v>46098.0</v>
      </c>
      <c r="U271" s="520"/>
      <c r="V271" s="7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c r="AV271" s="51"/>
      <c r="AW271" s="51"/>
      <c r="AX271" s="51"/>
    </row>
    <row r="272">
      <c r="A272" s="517">
        <v>46093.0</v>
      </c>
      <c r="B272" s="506" t="s">
        <v>942</v>
      </c>
      <c r="C272" s="506" t="s">
        <v>2092</v>
      </c>
      <c r="D272" s="679">
        <v>66000.0</v>
      </c>
      <c r="E272" s="506" t="s">
        <v>77</v>
      </c>
      <c r="F272" s="679">
        <v>36000.0</v>
      </c>
      <c r="G272" s="506" t="s">
        <v>880</v>
      </c>
      <c r="H272" s="506" t="s">
        <v>880</v>
      </c>
      <c r="I272" s="506" t="s">
        <v>880</v>
      </c>
      <c r="J272" s="887">
        <f t="shared" si="18"/>
        <v>66000</v>
      </c>
      <c r="K272" s="506" t="s">
        <v>880</v>
      </c>
      <c r="L272" s="540" t="s">
        <v>2093</v>
      </c>
      <c r="M272" s="506" t="s">
        <v>880</v>
      </c>
      <c r="N272" s="607" t="s">
        <v>773</v>
      </c>
      <c r="O272" s="506" t="s">
        <v>1179</v>
      </c>
      <c r="P272" s="506" t="s">
        <v>773</v>
      </c>
      <c r="Q272" s="607" t="s">
        <v>879</v>
      </c>
      <c r="R272" s="607">
        <v>10.0</v>
      </c>
      <c r="S272" s="507" t="s">
        <v>2094</v>
      </c>
      <c r="T272" s="517">
        <v>46098.0</v>
      </c>
      <c r="U272" s="520"/>
      <c r="V272" s="7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c r="AV272" s="51"/>
      <c r="AW272" s="51"/>
      <c r="AX272" s="51"/>
    </row>
    <row r="273">
      <c r="A273" s="517">
        <v>46101.0</v>
      </c>
      <c r="B273" s="506" t="s">
        <v>2095</v>
      </c>
      <c r="C273" s="506" t="s">
        <v>2096</v>
      </c>
      <c r="D273" s="506" t="s">
        <v>880</v>
      </c>
      <c r="E273" s="506" t="s">
        <v>880</v>
      </c>
      <c r="F273" s="679">
        <v>171000.0</v>
      </c>
      <c r="G273" s="506" t="s">
        <v>880</v>
      </c>
      <c r="H273" s="679">
        <v>6000.0</v>
      </c>
      <c r="I273" s="506" t="s">
        <v>880</v>
      </c>
      <c r="J273" s="679">
        <f>H273</f>
        <v>6000</v>
      </c>
      <c r="K273" s="506" t="s">
        <v>880</v>
      </c>
      <c r="L273" s="518" t="s">
        <v>2097</v>
      </c>
      <c r="M273" s="506" t="s">
        <v>773</v>
      </c>
      <c r="N273" s="506" t="s">
        <v>777</v>
      </c>
      <c r="O273" s="506" t="s">
        <v>2075</v>
      </c>
      <c r="P273" s="506" t="s">
        <v>2098</v>
      </c>
      <c r="Q273" s="506" t="s">
        <v>777</v>
      </c>
      <c r="R273" s="506" t="s">
        <v>777</v>
      </c>
      <c r="S273" s="507" t="s">
        <v>2099</v>
      </c>
      <c r="T273" s="33">
        <v>46173.0</v>
      </c>
      <c r="U273" s="72" t="s">
        <v>2100</v>
      </c>
      <c r="V273" s="7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c r="AV273" s="51"/>
      <c r="AW273" s="51"/>
      <c r="AX273" s="51"/>
    </row>
    <row r="274">
      <c r="A274" s="517">
        <v>46102.0</v>
      </c>
      <c r="B274" s="506" t="s">
        <v>143</v>
      </c>
      <c r="C274" s="506" t="s">
        <v>2101</v>
      </c>
      <c r="D274" s="679">
        <v>66000.0</v>
      </c>
      <c r="E274" s="506" t="s">
        <v>77</v>
      </c>
      <c r="F274" s="679">
        <v>36000.0</v>
      </c>
      <c r="G274" s="506" t="s">
        <v>880</v>
      </c>
      <c r="H274" s="506" t="s">
        <v>880</v>
      </c>
      <c r="I274" s="506" t="s">
        <v>880</v>
      </c>
      <c r="J274" s="679">
        <f>D274</f>
        <v>66000</v>
      </c>
      <c r="K274" s="506" t="s">
        <v>880</v>
      </c>
      <c r="L274" s="540" t="s">
        <v>2102</v>
      </c>
      <c r="M274" s="506" t="s">
        <v>880</v>
      </c>
      <c r="N274" s="607" t="s">
        <v>773</v>
      </c>
      <c r="O274" s="506" t="s">
        <v>2103</v>
      </c>
      <c r="P274" s="506" t="s">
        <v>773</v>
      </c>
      <c r="Q274" s="607" t="s">
        <v>879</v>
      </c>
      <c r="R274" s="506" t="s">
        <v>777</v>
      </c>
      <c r="S274" s="507" t="s">
        <v>880</v>
      </c>
      <c r="T274" s="521">
        <v>46110.0</v>
      </c>
      <c r="U274" s="520"/>
      <c r="V274" s="7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c r="AV274" s="51"/>
      <c r="AW274" s="51"/>
      <c r="AX274" s="51"/>
    </row>
    <row r="275">
      <c r="A275" s="517">
        <v>46106.0</v>
      </c>
      <c r="B275" s="506" t="s">
        <v>1026</v>
      </c>
      <c r="C275" s="506" t="s">
        <v>2104</v>
      </c>
      <c r="D275" s="679">
        <v>76000.0</v>
      </c>
      <c r="E275" s="506" t="s">
        <v>77</v>
      </c>
      <c r="F275" s="679">
        <v>180000.0</v>
      </c>
      <c r="G275" s="679">
        <v>90000.0</v>
      </c>
      <c r="H275" s="506" t="s">
        <v>880</v>
      </c>
      <c r="I275" s="506" t="s">
        <v>880</v>
      </c>
      <c r="J275" s="887">
        <v>76000.0</v>
      </c>
      <c r="K275" s="506" t="s">
        <v>880</v>
      </c>
      <c r="L275" s="540" t="s">
        <v>2105</v>
      </c>
      <c r="M275" s="506" t="s">
        <v>880</v>
      </c>
      <c r="N275" s="607" t="s">
        <v>773</v>
      </c>
      <c r="O275" s="506" t="s">
        <v>837</v>
      </c>
      <c r="P275" s="506" t="s">
        <v>773</v>
      </c>
      <c r="Q275" s="607" t="s">
        <v>879</v>
      </c>
      <c r="R275" s="506" t="s">
        <v>777</v>
      </c>
      <c r="S275" s="507" t="s">
        <v>2106</v>
      </c>
      <c r="T275" s="521">
        <v>46110.0</v>
      </c>
      <c r="U275" s="520"/>
      <c r="V275" s="7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c r="AV275" s="51"/>
      <c r="AW275" s="51"/>
      <c r="AX275" s="51"/>
    </row>
    <row r="276">
      <c r="A276" s="517">
        <v>46110.0</v>
      </c>
      <c r="B276" s="506" t="s">
        <v>593</v>
      </c>
      <c r="C276" s="506" t="s">
        <v>2107</v>
      </c>
      <c r="D276" s="679">
        <v>13000.0</v>
      </c>
      <c r="E276" s="506" t="s">
        <v>2098</v>
      </c>
      <c r="F276" s="506" t="s">
        <v>880</v>
      </c>
      <c r="G276" s="506" t="s">
        <v>880</v>
      </c>
      <c r="H276" s="506" t="s">
        <v>880</v>
      </c>
      <c r="I276" s="506" t="s">
        <v>880</v>
      </c>
      <c r="J276" s="679">
        <v>13000.0</v>
      </c>
      <c r="K276" s="520"/>
      <c r="L276" s="540" t="s">
        <v>2108</v>
      </c>
      <c r="M276" s="506" t="s">
        <v>880</v>
      </c>
      <c r="N276" s="506" t="s">
        <v>777</v>
      </c>
      <c r="O276" s="506" t="s">
        <v>2109</v>
      </c>
      <c r="P276" s="506" t="s">
        <v>773</v>
      </c>
      <c r="Q276" s="607" t="s">
        <v>879</v>
      </c>
      <c r="R276" s="506" t="s">
        <v>777</v>
      </c>
      <c r="S276" s="507" t="s">
        <v>2110</v>
      </c>
      <c r="T276" s="33">
        <v>46173.0</v>
      </c>
      <c r="U276" s="72" t="s">
        <v>2100</v>
      </c>
      <c r="V276" s="96"/>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c r="AX276" s="51"/>
    </row>
    <row r="277">
      <c r="A277" s="888">
        <v>46116.0</v>
      </c>
      <c r="B277" s="889" t="s">
        <v>2111</v>
      </c>
      <c r="C277" s="889" t="s">
        <v>2112</v>
      </c>
      <c r="D277" s="890">
        <v>16000.0</v>
      </c>
      <c r="E277" s="889" t="s">
        <v>2098</v>
      </c>
      <c r="F277" s="890">
        <v>270000.0</v>
      </c>
      <c r="G277" s="889" t="s">
        <v>880</v>
      </c>
      <c r="H277" s="889" t="s">
        <v>880</v>
      </c>
      <c r="I277" s="889" t="s">
        <v>880</v>
      </c>
      <c r="J277" s="890">
        <v>16000.0</v>
      </c>
      <c r="K277" s="891"/>
      <c r="L277" s="892" t="s">
        <v>2113</v>
      </c>
      <c r="M277" s="889" t="s">
        <v>880</v>
      </c>
      <c r="N277" s="889" t="s">
        <v>777</v>
      </c>
      <c r="O277" s="889" t="s">
        <v>2114</v>
      </c>
      <c r="P277" s="889" t="s">
        <v>2115</v>
      </c>
      <c r="Q277" s="889" t="s">
        <v>777</v>
      </c>
      <c r="R277" s="889">
        <v>10.0</v>
      </c>
      <c r="S277" s="893" t="s">
        <v>2110</v>
      </c>
      <c r="T277" s="33">
        <v>46173.0</v>
      </c>
      <c r="U277" s="72" t="s">
        <v>2100</v>
      </c>
      <c r="V277" s="894" t="s">
        <v>1355</v>
      </c>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c r="AV277" s="51"/>
      <c r="AW277" s="51"/>
      <c r="AX277" s="51"/>
    </row>
    <row r="278" hidden="1">
      <c r="A278" s="888">
        <v>46117.0</v>
      </c>
      <c r="B278" s="889" t="s">
        <v>679</v>
      </c>
      <c r="C278" s="889" t="s">
        <v>2116</v>
      </c>
      <c r="D278" s="890">
        <v>66000.0</v>
      </c>
      <c r="E278" s="889" t="s">
        <v>77</v>
      </c>
      <c r="F278" s="889" t="s">
        <v>880</v>
      </c>
      <c r="G278" s="889" t="s">
        <v>880</v>
      </c>
      <c r="H278" s="889" t="s">
        <v>880</v>
      </c>
      <c r="I278" s="889" t="s">
        <v>880</v>
      </c>
      <c r="J278" s="890">
        <v>66000.0</v>
      </c>
      <c r="K278" s="891"/>
      <c r="L278" s="895" t="s">
        <v>2117</v>
      </c>
      <c r="M278" s="889" t="s">
        <v>880</v>
      </c>
      <c r="N278" s="889" t="s">
        <v>777</v>
      </c>
      <c r="O278" s="889" t="s">
        <v>2118</v>
      </c>
      <c r="P278" s="889" t="s">
        <v>773</v>
      </c>
      <c r="Q278" s="889" t="s">
        <v>777</v>
      </c>
      <c r="R278" s="889">
        <v>10.0</v>
      </c>
      <c r="S278" s="896"/>
      <c r="T278" s="427" t="s">
        <v>1015</v>
      </c>
      <c r="U278" s="427"/>
      <c r="V278" s="7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c r="AV278" s="51"/>
      <c r="AW278" s="51"/>
      <c r="AX278" s="51"/>
    </row>
    <row r="279" ht="16.5" hidden="1" customHeight="1">
      <c r="A279" s="888">
        <v>46118.0</v>
      </c>
      <c r="B279" s="889" t="s">
        <v>1856</v>
      </c>
      <c r="C279" s="889" t="s">
        <v>807</v>
      </c>
      <c r="D279" s="889" t="s">
        <v>880</v>
      </c>
      <c r="E279" s="889" t="s">
        <v>880</v>
      </c>
      <c r="F279" s="889" t="s">
        <v>880</v>
      </c>
      <c r="G279" s="889" t="s">
        <v>880</v>
      </c>
      <c r="H279" s="889" t="s">
        <v>880</v>
      </c>
      <c r="I279" s="889" t="s">
        <v>880</v>
      </c>
      <c r="J279" s="889" t="s">
        <v>880</v>
      </c>
      <c r="K279" s="891"/>
      <c r="L279" s="897" t="s">
        <v>2119</v>
      </c>
      <c r="M279" s="898"/>
      <c r="N279" s="889" t="s">
        <v>777</v>
      </c>
      <c r="O279" s="889" t="s">
        <v>1210</v>
      </c>
      <c r="P279" s="889" t="s">
        <v>880</v>
      </c>
      <c r="Q279" s="899" t="s">
        <v>879</v>
      </c>
      <c r="R279" s="899">
        <v>10.0</v>
      </c>
      <c r="S279" s="893" t="s">
        <v>2120</v>
      </c>
      <c r="T279" s="889" t="s">
        <v>880</v>
      </c>
      <c r="U279" s="35" t="s">
        <v>880</v>
      </c>
      <c r="V279" s="7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c r="AV279" s="51"/>
      <c r="AW279" s="51"/>
      <c r="AX279" s="51"/>
    </row>
    <row r="280">
      <c r="A280" s="900">
        <v>46122.0</v>
      </c>
      <c r="B280" s="901" t="s">
        <v>1102</v>
      </c>
      <c r="C280" s="901" t="s">
        <v>2121</v>
      </c>
      <c r="D280" s="902">
        <v>16000.0</v>
      </c>
      <c r="E280" s="901" t="s">
        <v>2098</v>
      </c>
      <c r="F280" s="902">
        <v>36000.0</v>
      </c>
      <c r="G280" s="889" t="s">
        <v>880</v>
      </c>
      <c r="H280" s="889" t="s">
        <v>880</v>
      </c>
      <c r="I280" s="889" t="s">
        <v>880</v>
      </c>
      <c r="J280" s="890">
        <v>16000.0</v>
      </c>
      <c r="K280" s="891"/>
      <c r="L280" s="897" t="s">
        <v>2122</v>
      </c>
      <c r="M280" s="889" t="s">
        <v>880</v>
      </c>
      <c r="N280" s="889" t="s">
        <v>777</v>
      </c>
      <c r="O280" s="889" t="s">
        <v>2018</v>
      </c>
      <c r="P280" s="889" t="s">
        <v>2115</v>
      </c>
      <c r="Q280" s="889" t="s">
        <v>777</v>
      </c>
      <c r="R280" s="889" t="s">
        <v>777</v>
      </c>
      <c r="S280" s="893" t="s">
        <v>880</v>
      </c>
      <c r="T280" s="33">
        <v>46173.0</v>
      </c>
      <c r="U280" s="72" t="s">
        <v>2100</v>
      </c>
      <c r="V280" s="7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c r="AX280" s="51"/>
    </row>
    <row r="281" hidden="1">
      <c r="A281" s="900">
        <v>46126.0</v>
      </c>
      <c r="B281" s="901" t="s">
        <v>1092</v>
      </c>
      <c r="C281" s="901" t="s">
        <v>2123</v>
      </c>
      <c r="D281" s="901" t="s">
        <v>880</v>
      </c>
      <c r="E281" s="901" t="s">
        <v>880</v>
      </c>
      <c r="F281" s="902">
        <v>207000.0</v>
      </c>
      <c r="G281" s="902">
        <v>10000.0</v>
      </c>
      <c r="H281" s="889" t="s">
        <v>880</v>
      </c>
      <c r="I281" s="889" t="s">
        <v>880</v>
      </c>
      <c r="J281" s="889" t="s">
        <v>880</v>
      </c>
      <c r="K281" s="889"/>
      <c r="L281" s="903" t="s">
        <v>2124</v>
      </c>
      <c r="M281" s="889" t="s">
        <v>880</v>
      </c>
      <c r="N281" s="889" t="s">
        <v>777</v>
      </c>
      <c r="O281" s="889" t="s">
        <v>2125</v>
      </c>
      <c r="P281" s="889" t="s">
        <v>880</v>
      </c>
      <c r="Q281" s="889" t="s">
        <v>777</v>
      </c>
      <c r="R281" s="889" t="s">
        <v>777</v>
      </c>
      <c r="S281" s="896"/>
      <c r="T281" s="427" t="s">
        <v>1015</v>
      </c>
      <c r="U281" s="427" t="s">
        <v>2027</v>
      </c>
      <c r="V281" s="71"/>
      <c r="W281" s="147"/>
      <c r="X281" s="147"/>
      <c r="Y281" s="147"/>
      <c r="Z281" s="147"/>
      <c r="AA281" s="147"/>
      <c r="AB281" s="147"/>
      <c r="AC281" s="147"/>
      <c r="AD281" s="147"/>
      <c r="AE281" s="147"/>
      <c r="AF281" s="147"/>
      <c r="AG281" s="147"/>
      <c r="AH281" s="147"/>
      <c r="AI281" s="147"/>
      <c r="AJ281" s="147"/>
      <c r="AK281" s="147"/>
      <c r="AL281" s="147"/>
      <c r="AM281" s="147"/>
      <c r="AN281" s="147"/>
      <c r="AO281" s="147"/>
      <c r="AP281" s="147"/>
      <c r="AQ281" s="147"/>
      <c r="AR281" s="147"/>
      <c r="AS281" s="147"/>
      <c r="AT281" s="147"/>
      <c r="AU281" s="147"/>
      <c r="AV281" s="147"/>
      <c r="AW281" s="147"/>
      <c r="AX281" s="147"/>
    </row>
    <row r="282">
      <c r="A282" s="900">
        <v>46138.0</v>
      </c>
      <c r="B282" s="901" t="s">
        <v>2126</v>
      </c>
      <c r="C282" s="901" t="s">
        <v>2127</v>
      </c>
      <c r="D282" s="902">
        <v>24000.0</v>
      </c>
      <c r="E282" s="893" t="s">
        <v>2128</v>
      </c>
      <c r="F282" s="889" t="s">
        <v>880</v>
      </c>
      <c r="G282" s="889" t="s">
        <v>880</v>
      </c>
      <c r="H282" s="889" t="s">
        <v>880</v>
      </c>
      <c r="I282" s="889" t="s">
        <v>880</v>
      </c>
      <c r="J282" s="904">
        <f t="shared" ref="J282:J283" si="19">D282</f>
        <v>24000</v>
      </c>
      <c r="K282" s="889" t="s">
        <v>880</v>
      </c>
      <c r="L282" s="903" t="s">
        <v>2129</v>
      </c>
      <c r="M282" s="889" t="s">
        <v>880</v>
      </c>
      <c r="N282" s="889" t="s">
        <v>777</v>
      </c>
      <c r="O282" s="889"/>
      <c r="P282" s="889" t="s">
        <v>2115</v>
      </c>
      <c r="Q282" s="889" t="s">
        <v>880</v>
      </c>
      <c r="R282" s="889">
        <v>10.0</v>
      </c>
      <c r="S282" s="893" t="s">
        <v>1110</v>
      </c>
      <c r="T282" s="33">
        <v>46173.0</v>
      </c>
      <c r="U282" s="72" t="s">
        <v>2100</v>
      </c>
      <c r="V282" s="71"/>
      <c r="W282" s="147"/>
      <c r="X282" s="147"/>
      <c r="Y282" s="147"/>
      <c r="Z282" s="147"/>
      <c r="AA282" s="147"/>
      <c r="AB282" s="147"/>
      <c r="AC282" s="147"/>
      <c r="AD282" s="147"/>
      <c r="AE282" s="147"/>
      <c r="AF282" s="147"/>
      <c r="AG282" s="147"/>
      <c r="AH282" s="147"/>
      <c r="AI282" s="147"/>
      <c r="AJ282" s="147"/>
      <c r="AK282" s="147"/>
      <c r="AL282" s="147"/>
      <c r="AM282" s="147"/>
      <c r="AN282" s="147"/>
      <c r="AO282" s="147"/>
      <c r="AP282" s="147"/>
      <c r="AQ282" s="147"/>
      <c r="AR282" s="147"/>
      <c r="AS282" s="147"/>
      <c r="AT282" s="147"/>
      <c r="AU282" s="147"/>
      <c r="AV282" s="147"/>
      <c r="AW282" s="147"/>
      <c r="AX282" s="147"/>
    </row>
    <row r="283">
      <c r="A283" s="900">
        <v>46135.0</v>
      </c>
      <c r="B283" s="901" t="s">
        <v>2130</v>
      </c>
      <c r="C283" s="901" t="s">
        <v>2131</v>
      </c>
      <c r="D283" s="902">
        <v>22000.0</v>
      </c>
      <c r="E283" s="893" t="s">
        <v>2128</v>
      </c>
      <c r="F283" s="902">
        <v>120000.0</v>
      </c>
      <c r="G283" s="889" t="s">
        <v>880</v>
      </c>
      <c r="H283" s="889" t="s">
        <v>880</v>
      </c>
      <c r="I283" s="889" t="s">
        <v>880</v>
      </c>
      <c r="J283" s="904">
        <f t="shared" si="19"/>
        <v>22000</v>
      </c>
      <c r="K283" s="897" t="s">
        <v>2132</v>
      </c>
      <c r="L283" s="903" t="s">
        <v>2133</v>
      </c>
      <c r="M283" s="889" t="s">
        <v>880</v>
      </c>
      <c r="N283" s="889" t="s">
        <v>777</v>
      </c>
      <c r="O283" s="889" t="s">
        <v>776</v>
      </c>
      <c r="P283" s="889" t="s">
        <v>2115</v>
      </c>
      <c r="Q283" s="889" t="s">
        <v>777</v>
      </c>
      <c r="R283" s="889" t="s">
        <v>880</v>
      </c>
      <c r="S283" s="893" t="s">
        <v>1110</v>
      </c>
      <c r="T283" s="33">
        <v>46173.0</v>
      </c>
      <c r="U283" s="72" t="s">
        <v>2100</v>
      </c>
      <c r="V283" s="7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c r="AX283" s="51"/>
    </row>
    <row r="284">
      <c r="A284" s="900">
        <v>46134.0</v>
      </c>
      <c r="B284" s="901" t="s">
        <v>1141</v>
      </c>
      <c r="C284" s="901" t="s">
        <v>2134</v>
      </c>
      <c r="D284" s="902">
        <v>0.0</v>
      </c>
      <c r="E284" s="893" t="s">
        <v>2128</v>
      </c>
      <c r="F284" s="889" t="s">
        <v>880</v>
      </c>
      <c r="G284" s="889" t="s">
        <v>880</v>
      </c>
      <c r="H284" s="890">
        <f>3900+400</f>
        <v>4300</v>
      </c>
      <c r="I284" s="889" t="s">
        <v>880</v>
      </c>
      <c r="J284" s="904">
        <f>D284+H284</f>
        <v>4300</v>
      </c>
      <c r="K284" s="897" t="s">
        <v>2135</v>
      </c>
      <c r="L284" s="903" t="s">
        <v>2136</v>
      </c>
      <c r="M284" s="889" t="s">
        <v>880</v>
      </c>
      <c r="N284" s="889" t="s">
        <v>777</v>
      </c>
      <c r="O284" s="889" t="s">
        <v>776</v>
      </c>
      <c r="P284" s="889" t="s">
        <v>880</v>
      </c>
      <c r="Q284" s="889" t="s">
        <v>880</v>
      </c>
      <c r="R284" s="889" t="s">
        <v>880</v>
      </c>
      <c r="S284" s="893" t="s">
        <v>1110</v>
      </c>
      <c r="T284" s="33">
        <v>46173.0</v>
      </c>
      <c r="U284" s="72" t="s">
        <v>2100</v>
      </c>
      <c r="V284" s="7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c r="AX284" s="51"/>
    </row>
    <row r="285">
      <c r="A285" s="900">
        <v>46130.0</v>
      </c>
      <c r="B285" s="905" t="s">
        <v>243</v>
      </c>
      <c r="C285" s="901" t="s">
        <v>2137</v>
      </c>
      <c r="D285" s="906">
        <v>16000.0</v>
      </c>
      <c r="E285" s="893" t="s">
        <v>2128</v>
      </c>
      <c r="F285" s="906">
        <v>94500.0</v>
      </c>
      <c r="G285" s="889" t="s">
        <v>880</v>
      </c>
      <c r="H285" s="889" t="s">
        <v>880</v>
      </c>
      <c r="I285" s="889" t="s">
        <v>880</v>
      </c>
      <c r="J285" s="904">
        <f>D285</f>
        <v>16000</v>
      </c>
      <c r="K285" s="907" t="s">
        <v>2138</v>
      </c>
      <c r="L285" s="903" t="s">
        <v>2139</v>
      </c>
      <c r="M285" s="889" t="s">
        <v>880</v>
      </c>
      <c r="N285" s="889" t="s">
        <v>777</v>
      </c>
      <c r="O285" s="891"/>
      <c r="P285" s="889" t="s">
        <v>880</v>
      </c>
      <c r="Q285" s="889" t="s">
        <v>880</v>
      </c>
      <c r="R285" s="889" t="s">
        <v>880</v>
      </c>
      <c r="S285" s="893" t="s">
        <v>1110</v>
      </c>
      <c r="T285" s="33">
        <v>46173.0</v>
      </c>
      <c r="U285" s="72" t="s">
        <v>2100</v>
      </c>
      <c r="V285" s="96"/>
      <c r="W285" s="147"/>
      <c r="X285" s="147"/>
      <c r="Y285" s="147"/>
      <c r="Z285" s="147"/>
      <c r="AA285" s="147"/>
      <c r="AB285" s="147"/>
      <c r="AC285" s="147"/>
      <c r="AD285" s="147"/>
      <c r="AE285" s="147"/>
      <c r="AF285" s="147"/>
      <c r="AG285" s="147"/>
      <c r="AH285" s="147"/>
      <c r="AI285" s="147"/>
      <c r="AJ285" s="147"/>
      <c r="AK285" s="147"/>
      <c r="AL285" s="147"/>
      <c r="AM285" s="147"/>
      <c r="AN285" s="147"/>
      <c r="AO285" s="89"/>
      <c r="AP285" s="89"/>
      <c r="AQ285" s="89"/>
      <c r="AR285" s="89"/>
      <c r="AS285" s="89"/>
      <c r="AT285" s="89"/>
      <c r="AU285" s="89"/>
      <c r="AV285" s="89"/>
      <c r="AW285" s="89"/>
      <c r="AX285" s="89"/>
    </row>
    <row r="286">
      <c r="S286" s="143"/>
    </row>
    <row r="287">
      <c r="S287" s="143"/>
    </row>
    <row r="288">
      <c r="M288" s="908">
        <v>1768600.0</v>
      </c>
      <c r="N288" s="909" t="s">
        <v>591</v>
      </c>
      <c r="O288" s="910"/>
      <c r="P288" s="910"/>
    </row>
    <row r="289">
      <c r="A289" s="7"/>
      <c r="B289" s="569"/>
      <c r="C289" s="24"/>
      <c r="D289" s="569"/>
      <c r="E289" s="569"/>
      <c r="F289" s="569"/>
      <c r="G289" s="569"/>
      <c r="H289" s="569"/>
      <c r="I289" s="569"/>
      <c r="J289" s="569"/>
      <c r="K289" s="569"/>
      <c r="L289" s="7"/>
      <c r="M289" s="908">
        <v>1702000.0</v>
      </c>
      <c r="N289" s="909" t="s">
        <v>2140</v>
      </c>
      <c r="O289" s="910"/>
      <c r="P289" s="911">
        <f>M291-M288</f>
        <v>0</v>
      </c>
      <c r="Q289" s="7"/>
      <c r="R289" s="7"/>
      <c r="S289" s="7"/>
      <c r="T289" s="7"/>
      <c r="U289" s="7"/>
      <c r="V289" s="912"/>
      <c r="W289" s="7"/>
      <c r="X289" s="7"/>
      <c r="Y289" s="7"/>
      <c r="Z289" s="7"/>
      <c r="AA289" s="7"/>
      <c r="AB289" s="7"/>
      <c r="AC289" s="7"/>
      <c r="AD289" s="7"/>
      <c r="AE289" s="7"/>
      <c r="AF289" s="7"/>
      <c r="AG289" s="7"/>
      <c r="AH289" s="7"/>
      <c r="AI289" s="7"/>
      <c r="AJ289" s="7"/>
      <c r="AK289" s="7"/>
      <c r="AL289" s="7"/>
      <c r="AM289" s="7"/>
      <c r="AN289" s="7"/>
    </row>
    <row r="290">
      <c r="A290" s="7"/>
      <c r="B290" s="569"/>
      <c r="C290" s="569"/>
      <c r="D290" s="569"/>
      <c r="E290" s="569"/>
      <c r="F290" s="569"/>
      <c r="G290" s="569"/>
      <c r="H290" s="569"/>
      <c r="I290" s="913" t="s">
        <v>2141</v>
      </c>
      <c r="J290" s="569"/>
      <c r="K290" s="569"/>
      <c r="L290" s="569"/>
      <c r="M290" s="914">
        <f>20000+20000+16600+10000</f>
        <v>66600</v>
      </c>
      <c r="N290" s="915" t="s">
        <v>2142</v>
      </c>
      <c r="O290" s="916"/>
      <c r="P290" s="916"/>
      <c r="Q290" s="569"/>
      <c r="R290" s="569"/>
      <c r="S290" s="917">
        <f>J273+J276+J277+J280+J282+J283+J284+J285</f>
        <v>117300</v>
      </c>
      <c r="T290" s="917">
        <f>S290-10000</f>
        <v>107300</v>
      </c>
      <c r="U290" s="569"/>
      <c r="V290" s="912"/>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row>
    <row r="291">
      <c r="A291" s="7"/>
      <c r="B291" s="569"/>
      <c r="C291" s="569"/>
      <c r="D291" s="569"/>
      <c r="E291" s="569"/>
      <c r="F291" s="569"/>
      <c r="G291" s="569"/>
      <c r="H291" s="569"/>
      <c r="I291" s="569"/>
      <c r="J291" s="569"/>
      <c r="K291" s="569"/>
      <c r="L291" s="569"/>
      <c r="M291" s="917">
        <f>M289+M290</f>
        <v>1768600</v>
      </c>
      <c r="N291" s="569"/>
      <c r="O291" s="569"/>
      <c r="P291" s="569"/>
      <c r="Q291" s="569"/>
      <c r="R291" s="569"/>
      <c r="S291" s="569"/>
      <c r="T291" s="569"/>
      <c r="U291" s="569"/>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row>
    <row r="292">
      <c r="A292" s="7"/>
      <c r="B292" s="569"/>
      <c r="C292" s="569"/>
      <c r="D292" s="569"/>
      <c r="E292" s="569"/>
      <c r="F292" s="569"/>
      <c r="G292" s="569"/>
      <c r="H292" s="569"/>
      <c r="I292" s="569"/>
      <c r="J292" s="569"/>
      <c r="K292" s="569"/>
      <c r="L292" s="569"/>
      <c r="M292" s="569"/>
      <c r="N292" s="569"/>
      <c r="O292" s="569"/>
      <c r="P292" s="569"/>
      <c r="Q292" s="569"/>
      <c r="R292" s="569"/>
      <c r="S292" s="569"/>
      <c r="T292" s="569"/>
      <c r="U292" s="569"/>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row>
    <row r="293">
      <c r="B293" s="831" t="s">
        <v>1062</v>
      </c>
      <c r="C293" s="566"/>
      <c r="D293" s="566"/>
      <c r="E293" s="566"/>
      <c r="F293" s="566"/>
      <c r="G293" s="566"/>
      <c r="H293" s="566"/>
      <c r="I293" s="566"/>
      <c r="J293" s="566"/>
      <c r="K293" s="566"/>
      <c r="L293" s="566"/>
      <c r="M293" s="566"/>
      <c r="N293" s="566"/>
      <c r="O293" s="566"/>
      <c r="P293" s="566"/>
      <c r="Q293" s="566"/>
      <c r="R293" s="566"/>
      <c r="S293" s="566"/>
      <c r="T293" s="566"/>
      <c r="U293" s="832"/>
    </row>
    <row r="294">
      <c r="A294" s="26" t="s">
        <v>10</v>
      </c>
      <c r="B294" s="414" t="s">
        <v>13</v>
      </c>
      <c r="C294" s="416" t="s">
        <v>11</v>
      </c>
      <c r="D294" s="417" t="s">
        <v>693</v>
      </c>
      <c r="E294" s="918" t="s">
        <v>15</v>
      </c>
      <c r="F294" s="414" t="s">
        <v>698</v>
      </c>
      <c r="G294" s="414" t="s">
        <v>911</v>
      </c>
      <c r="H294" s="414" t="s">
        <v>700</v>
      </c>
      <c r="I294" s="414" t="s">
        <v>701</v>
      </c>
      <c r="J294" s="414" t="s">
        <v>704</v>
      </c>
      <c r="K294" s="919" t="s">
        <v>706</v>
      </c>
      <c r="L294" s="414" t="s">
        <v>707</v>
      </c>
      <c r="M294" s="414" t="s">
        <v>709</v>
      </c>
      <c r="N294" s="414" t="s">
        <v>710</v>
      </c>
      <c r="O294" s="414" t="s">
        <v>711</v>
      </c>
      <c r="P294" s="414" t="s">
        <v>712</v>
      </c>
      <c r="Q294" s="414" t="s">
        <v>714</v>
      </c>
      <c r="R294" s="414" t="s">
        <v>717</v>
      </c>
      <c r="S294" s="414" t="s">
        <v>719</v>
      </c>
      <c r="T294" s="414" t="s">
        <v>721</v>
      </c>
    </row>
    <row r="295">
      <c r="A295" s="568">
        <v>46076.0</v>
      </c>
      <c r="B295" s="920" t="s">
        <v>839</v>
      </c>
      <c r="C295" s="920" t="s">
        <v>2143</v>
      </c>
      <c r="D295" s="835">
        <v>165000.0</v>
      </c>
      <c r="E295" s="920" t="s">
        <v>77</v>
      </c>
      <c r="F295" s="478"/>
      <c r="G295" s="427" t="s">
        <v>880</v>
      </c>
      <c r="H295" s="427" t="s">
        <v>880</v>
      </c>
      <c r="I295" s="427" t="s">
        <v>880</v>
      </c>
      <c r="J295" s="345">
        <v>165000.0</v>
      </c>
      <c r="K295" s="427" t="s">
        <v>880</v>
      </c>
      <c r="L295" s="921" t="s">
        <v>2144</v>
      </c>
      <c r="M295" s="478"/>
      <c r="N295" s="920" t="s">
        <v>773</v>
      </c>
      <c r="O295" s="920" t="s">
        <v>1179</v>
      </c>
      <c r="P295" s="475" t="s">
        <v>773</v>
      </c>
      <c r="Q295" s="920" t="s">
        <v>1286</v>
      </c>
      <c r="R295" s="920" t="s">
        <v>1286</v>
      </c>
      <c r="S295" s="478"/>
      <c r="T295" s="568">
        <v>46090.0</v>
      </c>
      <c r="U295" s="219" t="s">
        <v>1429</v>
      </c>
    </row>
    <row r="296">
      <c r="A296" s="922">
        <v>46094.0</v>
      </c>
      <c r="B296" s="923" t="s">
        <v>637</v>
      </c>
      <c r="C296" s="923" t="s">
        <v>2145</v>
      </c>
      <c r="D296" s="924">
        <v>165000.0</v>
      </c>
      <c r="E296" s="923" t="s">
        <v>77</v>
      </c>
      <c r="F296" s="571" t="s">
        <v>880</v>
      </c>
      <c r="G296" s="571" t="s">
        <v>880</v>
      </c>
      <c r="H296" s="571" t="s">
        <v>880</v>
      </c>
      <c r="I296" s="571" t="s">
        <v>880</v>
      </c>
      <c r="J296" s="355">
        <f>D296</f>
        <v>165000</v>
      </c>
      <c r="K296" s="571" t="s">
        <v>880</v>
      </c>
      <c r="L296" s="925" t="s">
        <v>2146</v>
      </c>
      <c r="M296" s="926"/>
      <c r="N296" s="923" t="s">
        <v>773</v>
      </c>
      <c r="O296" s="923" t="s">
        <v>1179</v>
      </c>
      <c r="P296" s="574" t="s">
        <v>773</v>
      </c>
      <c r="Q296" s="923" t="s">
        <v>1286</v>
      </c>
      <c r="R296" s="923" t="s">
        <v>1286</v>
      </c>
      <c r="S296" s="926"/>
      <c r="T296" s="922">
        <v>46098.0</v>
      </c>
      <c r="U296" s="219" t="s">
        <v>1887</v>
      </c>
    </row>
    <row r="297">
      <c r="N297" s="7"/>
    </row>
    <row r="298">
      <c r="N298" s="7"/>
    </row>
    <row r="299">
      <c r="D299" s="558" t="s">
        <v>1394</v>
      </c>
      <c r="N299" s="7"/>
    </row>
    <row r="300">
      <c r="D300" s="24" t="s">
        <v>2147</v>
      </c>
      <c r="N300" s="7"/>
    </row>
    <row r="301">
      <c r="D301" s="219" t="s">
        <v>2148</v>
      </c>
      <c r="N301" s="7"/>
    </row>
    <row r="302">
      <c r="N302" s="7"/>
    </row>
    <row r="303">
      <c r="N303" s="7"/>
    </row>
    <row r="304">
      <c r="N304" s="7"/>
    </row>
    <row r="305">
      <c r="B305" s="360" t="s">
        <v>1413</v>
      </c>
      <c r="C305" s="4"/>
      <c r="D305" s="4"/>
      <c r="E305" s="4"/>
      <c r="F305" s="4"/>
      <c r="G305" s="4"/>
      <c r="H305" s="4"/>
      <c r="I305" s="4"/>
      <c r="J305" s="4"/>
      <c r="K305" s="4"/>
      <c r="L305" s="4"/>
      <c r="M305" s="4"/>
      <c r="N305" s="4"/>
      <c r="O305" s="4"/>
      <c r="P305" s="4"/>
      <c r="Q305" s="4"/>
      <c r="R305" s="4"/>
      <c r="S305" s="4"/>
      <c r="T305" s="6"/>
      <c r="U305" s="569"/>
    </row>
    <row r="306">
      <c r="A306" s="26" t="s">
        <v>10</v>
      </c>
      <c r="B306" s="414" t="s">
        <v>13</v>
      </c>
      <c r="C306" s="416" t="s">
        <v>11</v>
      </c>
      <c r="D306" s="417" t="s">
        <v>693</v>
      </c>
      <c r="E306" s="419" t="s">
        <v>15</v>
      </c>
      <c r="F306" s="414" t="s">
        <v>698</v>
      </c>
      <c r="G306" s="414" t="s">
        <v>911</v>
      </c>
      <c r="H306" s="414" t="s">
        <v>700</v>
      </c>
      <c r="I306" s="414" t="s">
        <v>701</v>
      </c>
      <c r="J306" s="414" t="s">
        <v>704</v>
      </c>
      <c r="K306" s="414" t="s">
        <v>706</v>
      </c>
      <c r="L306" s="414" t="s">
        <v>707</v>
      </c>
      <c r="M306" s="414" t="s">
        <v>709</v>
      </c>
      <c r="N306" s="414" t="s">
        <v>710</v>
      </c>
      <c r="O306" s="414" t="s">
        <v>711</v>
      </c>
      <c r="P306" s="414" t="s">
        <v>712</v>
      </c>
      <c r="Q306" s="414" t="s">
        <v>714</v>
      </c>
      <c r="R306" s="414" t="s">
        <v>717</v>
      </c>
      <c r="S306" s="414" t="s">
        <v>719</v>
      </c>
      <c r="T306" s="414" t="s">
        <v>721</v>
      </c>
    </row>
    <row r="307">
      <c r="A307" s="687">
        <v>46115.0</v>
      </c>
      <c r="B307" s="165" t="s">
        <v>1850</v>
      </c>
      <c r="C307" s="165" t="s">
        <v>2149</v>
      </c>
      <c r="D307" s="212">
        <v>175000.0</v>
      </c>
      <c r="E307" s="165" t="s">
        <v>77</v>
      </c>
      <c r="F307" s="35" t="s">
        <v>880</v>
      </c>
      <c r="G307" s="35" t="s">
        <v>880</v>
      </c>
      <c r="H307" s="35" t="s">
        <v>880</v>
      </c>
      <c r="I307" s="35" t="s">
        <v>880</v>
      </c>
      <c r="J307" s="345">
        <v>175000.0</v>
      </c>
      <c r="K307" s="70"/>
      <c r="L307" s="346" t="s">
        <v>2150</v>
      </c>
      <c r="M307" s="315"/>
      <c r="N307" s="315" t="s">
        <v>1286</v>
      </c>
      <c r="O307" s="165" t="s">
        <v>837</v>
      </c>
      <c r="P307" s="165" t="s">
        <v>773</v>
      </c>
      <c r="Q307" s="315" t="s">
        <v>2068</v>
      </c>
      <c r="R307" s="165" t="s">
        <v>777</v>
      </c>
      <c r="S307" s="70"/>
      <c r="T307" s="687">
        <v>46132.0</v>
      </c>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row>
    <row r="308">
      <c r="N308" s="7"/>
    </row>
    <row r="312">
      <c r="N312" s="7"/>
    </row>
    <row r="313">
      <c r="N313" s="7"/>
    </row>
    <row r="314">
      <c r="B314" s="360" t="s">
        <v>1827</v>
      </c>
      <c r="C314" s="4"/>
      <c r="D314" s="4"/>
      <c r="E314" s="4"/>
      <c r="F314" s="4"/>
      <c r="G314" s="4"/>
      <c r="H314" s="4"/>
      <c r="I314" s="4"/>
      <c r="J314" s="4"/>
      <c r="K314" s="4"/>
      <c r="L314" s="4"/>
      <c r="M314" s="4"/>
      <c r="N314" s="4"/>
      <c r="O314" s="4"/>
      <c r="P314" s="4"/>
      <c r="Q314" s="4"/>
      <c r="R314" s="4"/>
      <c r="S314" s="4"/>
      <c r="T314" s="6"/>
      <c r="U314" s="569"/>
    </row>
    <row r="315">
      <c r="A315" s="26" t="s">
        <v>10</v>
      </c>
      <c r="B315" s="414" t="s">
        <v>13</v>
      </c>
      <c r="C315" s="416" t="s">
        <v>11</v>
      </c>
      <c r="D315" s="417" t="s">
        <v>693</v>
      </c>
      <c r="E315" s="419" t="s">
        <v>15</v>
      </c>
      <c r="F315" s="414" t="s">
        <v>698</v>
      </c>
      <c r="G315" s="414" t="s">
        <v>911</v>
      </c>
      <c r="H315" s="414" t="s">
        <v>700</v>
      </c>
      <c r="I315" s="414" t="s">
        <v>701</v>
      </c>
      <c r="J315" s="414" t="s">
        <v>704</v>
      </c>
      <c r="K315" s="414" t="s">
        <v>706</v>
      </c>
      <c r="L315" s="414" t="s">
        <v>707</v>
      </c>
      <c r="M315" s="414" t="s">
        <v>709</v>
      </c>
      <c r="N315" s="414" t="s">
        <v>710</v>
      </c>
      <c r="O315" s="414" t="s">
        <v>711</v>
      </c>
      <c r="P315" s="414" t="s">
        <v>712</v>
      </c>
      <c r="Q315" s="414" t="s">
        <v>714</v>
      </c>
      <c r="R315" s="414" t="s">
        <v>717</v>
      </c>
      <c r="S315" s="414" t="s">
        <v>719</v>
      </c>
      <c r="T315" s="414" t="s">
        <v>721</v>
      </c>
    </row>
    <row r="316">
      <c r="A316" s="687">
        <v>46227.0</v>
      </c>
      <c r="B316" s="165" t="s">
        <v>834</v>
      </c>
      <c r="C316" s="927" t="s">
        <v>2151</v>
      </c>
      <c r="D316" s="212">
        <v>185000.0</v>
      </c>
      <c r="E316" s="165" t="s">
        <v>77</v>
      </c>
      <c r="F316" s="35" t="s">
        <v>880</v>
      </c>
      <c r="G316" s="35" t="s">
        <v>880</v>
      </c>
      <c r="H316" s="37">
        <f>6000*3</f>
        <v>18000</v>
      </c>
      <c r="I316" s="35" t="s">
        <v>880</v>
      </c>
      <c r="J316" s="212">
        <f>D316+H316</f>
        <v>203000</v>
      </c>
      <c r="K316" s="315" t="s">
        <v>773</v>
      </c>
      <c r="L316" s="315"/>
      <c r="M316" s="315"/>
      <c r="N316" s="315" t="s">
        <v>1286</v>
      </c>
      <c r="O316" s="165" t="s">
        <v>837</v>
      </c>
      <c r="P316" s="165" t="s">
        <v>773</v>
      </c>
      <c r="Q316" s="315" t="s">
        <v>2068</v>
      </c>
      <c r="R316" s="165" t="s">
        <v>777</v>
      </c>
      <c r="S316" s="70"/>
      <c r="T316" s="687">
        <v>46132.0</v>
      </c>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row>
    <row r="317">
      <c r="N317" s="7"/>
    </row>
    <row r="318">
      <c r="N318" s="7"/>
    </row>
    <row r="319">
      <c r="N319" s="7"/>
    </row>
    <row r="320">
      <c r="N320" s="7"/>
    </row>
    <row r="321">
      <c r="N321" s="7"/>
    </row>
    <row r="322">
      <c r="N322" s="7"/>
    </row>
    <row r="323">
      <c r="N323" s="7"/>
    </row>
    <row r="324">
      <c r="N324" s="7"/>
    </row>
    <row r="325">
      <c r="N325" s="7"/>
    </row>
    <row r="326">
      <c r="N326" s="7"/>
    </row>
    <row r="327">
      <c r="N327" s="7"/>
    </row>
    <row r="328">
      <c r="N328" s="7"/>
    </row>
    <row r="329">
      <c r="N329" s="7"/>
    </row>
    <row r="330">
      <c r="N330" s="7"/>
    </row>
    <row r="331">
      <c r="N331" s="7"/>
    </row>
    <row r="332">
      <c r="N332" s="7"/>
    </row>
    <row r="333">
      <c r="N333" s="7"/>
    </row>
    <row r="334">
      <c r="N334" s="7"/>
    </row>
    <row r="335">
      <c r="N335" s="7"/>
    </row>
    <row r="336">
      <c r="N336" s="7"/>
    </row>
    <row r="337">
      <c r="N337" s="7"/>
    </row>
    <row r="338">
      <c r="N338" s="7"/>
    </row>
    <row r="339">
      <c r="N339" s="7"/>
    </row>
    <row r="340">
      <c r="N340" s="7"/>
    </row>
    <row r="341">
      <c r="N341" s="7"/>
    </row>
    <row r="342">
      <c r="N342" s="7"/>
    </row>
    <row r="343">
      <c r="N343" s="7"/>
    </row>
    <row r="344">
      <c r="N344" s="7"/>
    </row>
    <row r="345">
      <c r="N345" s="7"/>
    </row>
    <row r="346">
      <c r="N346" s="7"/>
    </row>
    <row r="347">
      <c r="N347" s="7"/>
    </row>
    <row r="348">
      <c r="N348" s="7"/>
    </row>
    <row r="349">
      <c r="N349" s="7"/>
    </row>
    <row r="350">
      <c r="N350" s="7"/>
    </row>
    <row r="351">
      <c r="N351" s="7"/>
    </row>
    <row r="352">
      <c r="N352" s="7"/>
    </row>
    <row r="353">
      <c r="N353" s="7"/>
    </row>
    <row r="354">
      <c r="N354" s="7"/>
    </row>
    <row r="355">
      <c r="N355" s="7"/>
    </row>
    <row r="356">
      <c r="N356" s="7"/>
    </row>
    <row r="357">
      <c r="N357" s="7"/>
    </row>
    <row r="358">
      <c r="N358" s="7"/>
    </row>
    <row r="359">
      <c r="N359" s="7"/>
    </row>
    <row r="360">
      <c r="N360" s="7"/>
    </row>
    <row r="361">
      <c r="N361" s="7"/>
    </row>
    <row r="362">
      <c r="N362" s="7"/>
    </row>
    <row r="363">
      <c r="N363" s="7"/>
    </row>
    <row r="364">
      <c r="N364" s="7"/>
    </row>
    <row r="365">
      <c r="N365" s="7"/>
    </row>
    <row r="366">
      <c r="N366" s="7"/>
    </row>
    <row r="367">
      <c r="N367" s="7"/>
    </row>
    <row r="368">
      <c r="N368" s="7"/>
    </row>
    <row r="369">
      <c r="N369" s="7"/>
    </row>
    <row r="370">
      <c r="N370" s="7"/>
    </row>
    <row r="371">
      <c r="N371" s="7"/>
    </row>
    <row r="372">
      <c r="N372" s="7"/>
    </row>
    <row r="373">
      <c r="N373" s="7"/>
    </row>
    <row r="374">
      <c r="N374" s="7"/>
    </row>
    <row r="375">
      <c r="N375" s="7"/>
    </row>
    <row r="376">
      <c r="N376" s="7"/>
    </row>
    <row r="377">
      <c r="N377" s="7"/>
    </row>
    <row r="378">
      <c r="N378" s="7"/>
    </row>
    <row r="379">
      <c r="N379" s="7"/>
    </row>
    <row r="380">
      <c r="N380" s="7"/>
    </row>
    <row r="381">
      <c r="N381" s="7"/>
    </row>
    <row r="382">
      <c r="N382" s="7"/>
    </row>
    <row r="383">
      <c r="N383" s="7"/>
    </row>
    <row r="384">
      <c r="N384" s="7"/>
    </row>
    <row r="385">
      <c r="N385" s="7"/>
    </row>
    <row r="386">
      <c r="N386" s="7"/>
    </row>
    <row r="387">
      <c r="N387" s="7"/>
    </row>
    <row r="388">
      <c r="N388" s="7"/>
    </row>
    <row r="389">
      <c r="N389" s="7"/>
    </row>
    <row r="390">
      <c r="N390" s="7"/>
    </row>
    <row r="391">
      <c r="N391" s="7"/>
    </row>
    <row r="392">
      <c r="N392" s="7"/>
    </row>
    <row r="393">
      <c r="N393" s="7"/>
    </row>
    <row r="394">
      <c r="N394" s="7"/>
    </row>
    <row r="395">
      <c r="N395" s="7"/>
    </row>
    <row r="396">
      <c r="N396" s="7"/>
    </row>
    <row r="397">
      <c r="N397" s="7"/>
    </row>
    <row r="398">
      <c r="N398" s="7"/>
    </row>
    <row r="399">
      <c r="N399" s="7"/>
    </row>
    <row r="400">
      <c r="N400" s="7"/>
    </row>
    <row r="401">
      <c r="N401" s="7"/>
    </row>
    <row r="402">
      <c r="N402" s="7"/>
    </row>
    <row r="403">
      <c r="N403" s="7"/>
    </row>
    <row r="404">
      <c r="N404" s="7"/>
    </row>
    <row r="405">
      <c r="N405" s="7"/>
    </row>
    <row r="406">
      <c r="N406" s="7"/>
    </row>
    <row r="407">
      <c r="N407" s="7"/>
    </row>
    <row r="408">
      <c r="N408" s="7"/>
    </row>
    <row r="409">
      <c r="N409" s="7"/>
    </row>
    <row r="410">
      <c r="N410" s="7"/>
    </row>
    <row r="411">
      <c r="N411" s="7"/>
    </row>
    <row r="412">
      <c r="N412" s="7"/>
    </row>
    <row r="413">
      <c r="N413" s="7"/>
    </row>
    <row r="414">
      <c r="N414" s="7"/>
    </row>
    <row r="415">
      <c r="N415" s="7"/>
    </row>
    <row r="416">
      <c r="N416" s="7"/>
    </row>
    <row r="417">
      <c r="N417" s="7"/>
    </row>
    <row r="418">
      <c r="N418" s="7"/>
    </row>
    <row r="419">
      <c r="N419" s="7"/>
    </row>
    <row r="420">
      <c r="N420" s="7"/>
    </row>
    <row r="421">
      <c r="N421" s="7"/>
    </row>
    <row r="422">
      <c r="N422" s="7"/>
    </row>
    <row r="423">
      <c r="N423" s="7"/>
    </row>
    <row r="424">
      <c r="N424" s="7"/>
    </row>
    <row r="425">
      <c r="N425" s="7"/>
    </row>
    <row r="426">
      <c r="N426" s="7"/>
    </row>
    <row r="427">
      <c r="N427" s="7"/>
    </row>
    <row r="428">
      <c r="N428" s="7"/>
    </row>
    <row r="429">
      <c r="N429" s="7"/>
    </row>
    <row r="430">
      <c r="N430" s="7"/>
    </row>
    <row r="431">
      <c r="N431" s="7"/>
    </row>
    <row r="432">
      <c r="N432" s="7"/>
    </row>
    <row r="433">
      <c r="N433" s="7"/>
    </row>
    <row r="434">
      <c r="N434" s="7"/>
    </row>
    <row r="435">
      <c r="N435" s="7"/>
    </row>
    <row r="436">
      <c r="N436" s="7"/>
    </row>
    <row r="437">
      <c r="N437" s="7"/>
    </row>
    <row r="438">
      <c r="N438" s="7"/>
    </row>
    <row r="439">
      <c r="N439" s="7"/>
    </row>
    <row r="440">
      <c r="N440" s="7"/>
    </row>
    <row r="441">
      <c r="N441" s="7"/>
    </row>
    <row r="442">
      <c r="N442" s="7"/>
    </row>
    <row r="443">
      <c r="N443" s="7"/>
    </row>
    <row r="444">
      <c r="N444" s="7"/>
    </row>
    <row r="445">
      <c r="N445" s="7"/>
    </row>
    <row r="446">
      <c r="N446" s="7"/>
    </row>
    <row r="447">
      <c r="N447" s="7"/>
    </row>
    <row r="448">
      <c r="N448" s="7"/>
    </row>
    <row r="449">
      <c r="N449" s="7"/>
    </row>
    <row r="450">
      <c r="N450" s="7"/>
    </row>
    <row r="451">
      <c r="N451" s="7"/>
    </row>
    <row r="452">
      <c r="N452" s="7"/>
    </row>
    <row r="453">
      <c r="N453" s="7"/>
    </row>
    <row r="454">
      <c r="N454" s="7"/>
    </row>
    <row r="455">
      <c r="N455" s="7"/>
    </row>
    <row r="456">
      <c r="N456" s="7"/>
    </row>
    <row r="457">
      <c r="N457" s="7"/>
    </row>
    <row r="458">
      <c r="N458" s="7"/>
    </row>
    <row r="459">
      <c r="N459" s="7"/>
    </row>
    <row r="460">
      <c r="N460" s="7"/>
    </row>
    <row r="461">
      <c r="N461" s="7"/>
    </row>
    <row r="462">
      <c r="N462" s="7"/>
    </row>
    <row r="463">
      <c r="N463" s="7"/>
    </row>
    <row r="464">
      <c r="N464" s="7"/>
    </row>
    <row r="465">
      <c r="N465" s="7"/>
    </row>
    <row r="466">
      <c r="N466" s="7"/>
    </row>
    <row r="467">
      <c r="N467" s="7"/>
    </row>
    <row r="468">
      <c r="N468" s="7"/>
    </row>
    <row r="469">
      <c r="N469" s="7"/>
    </row>
    <row r="470">
      <c r="N470" s="7"/>
    </row>
    <row r="471">
      <c r="N471" s="7"/>
    </row>
    <row r="472">
      <c r="N472" s="7"/>
    </row>
    <row r="473">
      <c r="N473" s="7"/>
    </row>
    <row r="474">
      <c r="N474" s="7"/>
    </row>
    <row r="475">
      <c r="N475" s="7"/>
    </row>
    <row r="476">
      <c r="N476" s="7"/>
    </row>
    <row r="477">
      <c r="N477" s="7"/>
    </row>
    <row r="478">
      <c r="N478" s="7"/>
    </row>
    <row r="479">
      <c r="N479" s="7"/>
    </row>
    <row r="480">
      <c r="N480" s="7"/>
    </row>
    <row r="481">
      <c r="N481" s="7"/>
    </row>
    <row r="482">
      <c r="N482" s="7"/>
    </row>
    <row r="483">
      <c r="N483" s="7"/>
    </row>
    <row r="484">
      <c r="N484" s="7"/>
    </row>
    <row r="485">
      <c r="N485" s="7"/>
    </row>
    <row r="486">
      <c r="N486" s="7"/>
    </row>
    <row r="487">
      <c r="N487" s="7"/>
    </row>
    <row r="488">
      <c r="N488" s="7"/>
    </row>
    <row r="489">
      <c r="N489" s="7"/>
    </row>
    <row r="490">
      <c r="N490" s="7"/>
    </row>
    <row r="491">
      <c r="N491" s="7"/>
    </row>
    <row r="492">
      <c r="N492" s="7"/>
    </row>
    <row r="493">
      <c r="N493" s="7"/>
    </row>
    <row r="494">
      <c r="N494" s="7"/>
    </row>
    <row r="495">
      <c r="N495" s="7"/>
    </row>
    <row r="496">
      <c r="N496" s="7"/>
    </row>
    <row r="497">
      <c r="N497" s="7"/>
    </row>
    <row r="498">
      <c r="N498" s="7"/>
    </row>
    <row r="499">
      <c r="N499" s="7"/>
    </row>
    <row r="500">
      <c r="N500" s="7"/>
    </row>
    <row r="501">
      <c r="N501" s="7"/>
    </row>
    <row r="502">
      <c r="N502" s="7"/>
    </row>
    <row r="503">
      <c r="N503" s="7"/>
    </row>
    <row r="504">
      <c r="N504" s="7"/>
    </row>
    <row r="505">
      <c r="N505" s="7"/>
    </row>
    <row r="506">
      <c r="N506" s="7"/>
    </row>
    <row r="507">
      <c r="N507" s="7"/>
    </row>
    <row r="508">
      <c r="N508" s="7"/>
    </row>
    <row r="509">
      <c r="N509" s="7"/>
    </row>
    <row r="510">
      <c r="N510" s="7"/>
    </row>
    <row r="511">
      <c r="N511" s="7"/>
    </row>
    <row r="512">
      <c r="N512" s="7"/>
    </row>
    <row r="513">
      <c r="N513" s="7"/>
    </row>
    <row r="514">
      <c r="N514" s="7"/>
    </row>
    <row r="515">
      <c r="N515" s="7"/>
    </row>
    <row r="516">
      <c r="N516" s="7"/>
    </row>
    <row r="517">
      <c r="N517" s="7"/>
    </row>
    <row r="518">
      <c r="N518" s="7"/>
    </row>
    <row r="519">
      <c r="N519" s="7"/>
    </row>
    <row r="520">
      <c r="N520" s="7"/>
    </row>
    <row r="521">
      <c r="N521" s="7"/>
    </row>
    <row r="522">
      <c r="N522" s="7"/>
    </row>
    <row r="523">
      <c r="N523" s="7"/>
    </row>
    <row r="524">
      <c r="N524" s="7"/>
    </row>
    <row r="525">
      <c r="N525" s="7"/>
    </row>
    <row r="526">
      <c r="N526" s="7"/>
    </row>
    <row r="527">
      <c r="N527" s="7"/>
    </row>
    <row r="528">
      <c r="N528" s="7"/>
    </row>
    <row r="529">
      <c r="N529" s="7"/>
    </row>
    <row r="530">
      <c r="N530" s="7"/>
    </row>
    <row r="531">
      <c r="N531" s="7"/>
    </row>
    <row r="532">
      <c r="N532" s="7"/>
    </row>
    <row r="533">
      <c r="N533" s="7"/>
    </row>
    <row r="534">
      <c r="N534" s="7"/>
    </row>
    <row r="535">
      <c r="N535" s="7"/>
    </row>
    <row r="536">
      <c r="N536" s="7"/>
    </row>
    <row r="537">
      <c r="N537" s="7"/>
    </row>
    <row r="538">
      <c r="N538" s="7"/>
    </row>
    <row r="539">
      <c r="N539" s="7"/>
    </row>
    <row r="540">
      <c r="N540" s="7"/>
    </row>
    <row r="541">
      <c r="N541" s="7"/>
    </row>
    <row r="542">
      <c r="N542" s="7"/>
    </row>
    <row r="543">
      <c r="N543" s="7"/>
    </row>
    <row r="544">
      <c r="N544" s="7"/>
    </row>
    <row r="545">
      <c r="N545" s="7"/>
    </row>
    <row r="546">
      <c r="N546" s="7"/>
    </row>
    <row r="547">
      <c r="N547" s="7"/>
    </row>
    <row r="548">
      <c r="N548" s="7"/>
    </row>
    <row r="549">
      <c r="N549" s="7"/>
    </row>
    <row r="550">
      <c r="N550" s="7"/>
    </row>
    <row r="551">
      <c r="N551" s="7"/>
    </row>
    <row r="552">
      <c r="N552" s="7"/>
    </row>
    <row r="553">
      <c r="N553" s="7"/>
    </row>
    <row r="554">
      <c r="N554" s="7"/>
    </row>
    <row r="555">
      <c r="N555" s="7"/>
    </row>
    <row r="556">
      <c r="N556" s="7"/>
    </row>
    <row r="557">
      <c r="N557" s="7"/>
    </row>
    <row r="558">
      <c r="N558" s="7"/>
    </row>
    <row r="559">
      <c r="N559" s="7"/>
    </row>
    <row r="560">
      <c r="N560" s="7"/>
    </row>
    <row r="561">
      <c r="N561" s="7"/>
    </row>
    <row r="562">
      <c r="N562" s="7"/>
    </row>
    <row r="563">
      <c r="N563" s="7"/>
    </row>
    <row r="564">
      <c r="N564" s="7"/>
    </row>
    <row r="565">
      <c r="N565" s="7"/>
    </row>
    <row r="566">
      <c r="N566" s="7"/>
    </row>
    <row r="567">
      <c r="N567" s="7"/>
    </row>
    <row r="568">
      <c r="N568" s="7"/>
    </row>
    <row r="569">
      <c r="N569" s="7"/>
    </row>
    <row r="570">
      <c r="N570" s="7"/>
    </row>
    <row r="571">
      <c r="N571" s="7"/>
    </row>
    <row r="572">
      <c r="N572" s="7"/>
    </row>
    <row r="573">
      <c r="N573" s="7"/>
    </row>
    <row r="574">
      <c r="N574" s="7"/>
    </row>
    <row r="575">
      <c r="N575" s="7"/>
    </row>
    <row r="576">
      <c r="N576" s="7"/>
    </row>
    <row r="577">
      <c r="N577" s="7"/>
    </row>
    <row r="578">
      <c r="N578" s="7"/>
    </row>
    <row r="579">
      <c r="N579" s="7"/>
    </row>
    <row r="580">
      <c r="N580" s="7"/>
    </row>
    <row r="581">
      <c r="N581" s="7"/>
    </row>
    <row r="582">
      <c r="N582" s="7"/>
    </row>
    <row r="583">
      <c r="N583" s="7"/>
    </row>
    <row r="584">
      <c r="N584" s="7"/>
    </row>
    <row r="585">
      <c r="N585" s="7"/>
    </row>
    <row r="586">
      <c r="N586" s="7"/>
    </row>
    <row r="587">
      <c r="N587" s="7"/>
    </row>
    <row r="588">
      <c r="N588" s="7"/>
    </row>
    <row r="589">
      <c r="N589" s="7"/>
    </row>
    <row r="590">
      <c r="N590" s="7"/>
    </row>
    <row r="591">
      <c r="N591" s="7"/>
    </row>
    <row r="592">
      <c r="N592" s="7"/>
    </row>
    <row r="593">
      <c r="N593" s="7"/>
    </row>
    <row r="594">
      <c r="N594" s="7"/>
    </row>
    <row r="595">
      <c r="N595" s="7"/>
    </row>
    <row r="596">
      <c r="N596" s="7"/>
    </row>
    <row r="597">
      <c r="N597" s="7"/>
    </row>
    <row r="598">
      <c r="N598" s="7"/>
    </row>
    <row r="599">
      <c r="N599" s="7"/>
    </row>
    <row r="600">
      <c r="N600" s="7"/>
    </row>
    <row r="601">
      <c r="N601" s="7"/>
    </row>
    <row r="602">
      <c r="N602" s="7"/>
    </row>
    <row r="603">
      <c r="N603" s="7"/>
    </row>
    <row r="604">
      <c r="N604" s="7"/>
    </row>
    <row r="605">
      <c r="N605" s="7"/>
    </row>
    <row r="606">
      <c r="N606" s="7"/>
    </row>
    <row r="607">
      <c r="N607" s="7"/>
    </row>
    <row r="608">
      <c r="N608" s="7"/>
    </row>
    <row r="609">
      <c r="N609" s="7"/>
    </row>
    <row r="610">
      <c r="N610" s="7"/>
    </row>
    <row r="611">
      <c r="N611" s="7"/>
    </row>
    <row r="612">
      <c r="N612" s="7"/>
    </row>
    <row r="613">
      <c r="N613" s="7"/>
    </row>
    <row r="614">
      <c r="N614" s="7"/>
    </row>
    <row r="615">
      <c r="N615" s="7"/>
    </row>
    <row r="616">
      <c r="N616" s="7"/>
    </row>
    <row r="617">
      <c r="N617" s="7"/>
    </row>
    <row r="618">
      <c r="N618" s="7"/>
    </row>
    <row r="619">
      <c r="N619" s="7"/>
    </row>
    <row r="620">
      <c r="N620" s="7"/>
    </row>
    <row r="621">
      <c r="N621" s="7"/>
    </row>
    <row r="622">
      <c r="N622" s="7"/>
    </row>
    <row r="623">
      <c r="N623" s="7"/>
    </row>
    <row r="624">
      <c r="N624" s="7"/>
    </row>
    <row r="625">
      <c r="N625" s="7"/>
    </row>
    <row r="626">
      <c r="N626" s="7"/>
    </row>
    <row r="627">
      <c r="N627" s="7"/>
    </row>
    <row r="628">
      <c r="N628" s="7"/>
    </row>
    <row r="629">
      <c r="N629" s="7"/>
    </row>
    <row r="630">
      <c r="N630" s="7"/>
    </row>
    <row r="631">
      <c r="N631" s="7"/>
    </row>
    <row r="632">
      <c r="N632" s="7"/>
    </row>
    <row r="633">
      <c r="N633" s="7"/>
    </row>
    <row r="634">
      <c r="N634" s="7"/>
    </row>
    <row r="635">
      <c r="N635" s="7"/>
    </row>
    <row r="636">
      <c r="N636" s="7"/>
    </row>
    <row r="637">
      <c r="N637" s="7"/>
    </row>
    <row r="638">
      <c r="N638" s="7"/>
    </row>
    <row r="639">
      <c r="N639" s="7"/>
    </row>
    <row r="640">
      <c r="N640" s="7"/>
    </row>
    <row r="641">
      <c r="N641" s="7"/>
    </row>
    <row r="642">
      <c r="N642" s="7"/>
    </row>
    <row r="643">
      <c r="N643" s="7"/>
    </row>
    <row r="644">
      <c r="N644" s="7"/>
    </row>
    <row r="645">
      <c r="N645" s="7"/>
    </row>
    <row r="646">
      <c r="N646" s="7"/>
    </row>
    <row r="647">
      <c r="N647" s="7"/>
    </row>
    <row r="648">
      <c r="N648" s="7"/>
    </row>
    <row r="649">
      <c r="N649" s="7"/>
    </row>
    <row r="650">
      <c r="N650" s="7"/>
    </row>
    <row r="651">
      <c r="N651" s="7"/>
    </row>
    <row r="652">
      <c r="N652" s="7"/>
    </row>
    <row r="653">
      <c r="N653" s="7"/>
    </row>
    <row r="654">
      <c r="N654" s="7"/>
    </row>
    <row r="655">
      <c r="N655" s="7"/>
    </row>
    <row r="656">
      <c r="N656" s="7"/>
    </row>
    <row r="657">
      <c r="N657" s="7"/>
    </row>
    <row r="658">
      <c r="N658" s="7"/>
    </row>
    <row r="659">
      <c r="N659" s="7"/>
    </row>
    <row r="660">
      <c r="N660" s="7"/>
    </row>
    <row r="661">
      <c r="N661" s="7"/>
    </row>
    <row r="662">
      <c r="N662" s="7"/>
    </row>
    <row r="663">
      <c r="N663" s="7"/>
    </row>
    <row r="664">
      <c r="N664" s="7"/>
    </row>
    <row r="665">
      <c r="N665" s="7"/>
    </row>
    <row r="666">
      <c r="N666" s="7"/>
    </row>
    <row r="667">
      <c r="N667" s="7"/>
    </row>
    <row r="668">
      <c r="N668" s="7"/>
    </row>
    <row r="669">
      <c r="N669" s="7"/>
    </row>
    <row r="670">
      <c r="N670" s="7"/>
    </row>
    <row r="671">
      <c r="N671" s="7"/>
    </row>
    <row r="672">
      <c r="N672" s="7"/>
    </row>
    <row r="673">
      <c r="N673" s="7"/>
    </row>
    <row r="674">
      <c r="N674" s="7"/>
    </row>
    <row r="675">
      <c r="N675" s="7"/>
    </row>
    <row r="676">
      <c r="N676" s="7"/>
    </row>
    <row r="677">
      <c r="N677" s="7"/>
    </row>
    <row r="678">
      <c r="N678" s="7"/>
    </row>
    <row r="679">
      <c r="N679" s="7"/>
    </row>
    <row r="680">
      <c r="N680" s="7"/>
    </row>
    <row r="681">
      <c r="N681" s="7"/>
    </row>
    <row r="682">
      <c r="N682" s="7"/>
    </row>
    <row r="683">
      <c r="N683" s="7"/>
    </row>
    <row r="684">
      <c r="N684" s="7"/>
    </row>
    <row r="685">
      <c r="N685" s="7"/>
    </row>
    <row r="686">
      <c r="N686" s="7"/>
    </row>
    <row r="687">
      <c r="N687" s="7"/>
    </row>
    <row r="688">
      <c r="N688" s="7"/>
    </row>
    <row r="689">
      <c r="N689" s="7"/>
    </row>
    <row r="690">
      <c r="N690" s="7"/>
    </row>
    <row r="691">
      <c r="N691" s="7"/>
    </row>
    <row r="692">
      <c r="N692" s="7"/>
    </row>
    <row r="693">
      <c r="N693" s="7"/>
    </row>
    <row r="694">
      <c r="N694" s="7"/>
    </row>
    <row r="695">
      <c r="N695" s="7"/>
    </row>
    <row r="696">
      <c r="N696" s="7"/>
    </row>
    <row r="697">
      <c r="N697" s="7"/>
    </row>
    <row r="698">
      <c r="N698" s="7"/>
    </row>
    <row r="699">
      <c r="N699" s="7"/>
    </row>
    <row r="700">
      <c r="N700" s="7"/>
    </row>
    <row r="701">
      <c r="N701" s="7"/>
    </row>
    <row r="702">
      <c r="N702" s="7"/>
    </row>
    <row r="703">
      <c r="N703" s="7"/>
    </row>
    <row r="704">
      <c r="N704" s="7"/>
    </row>
    <row r="705">
      <c r="N705" s="7"/>
    </row>
    <row r="706">
      <c r="N706" s="7"/>
    </row>
    <row r="707">
      <c r="N707" s="7"/>
    </row>
    <row r="708">
      <c r="N708" s="7"/>
    </row>
    <row r="709">
      <c r="N709" s="7"/>
    </row>
    <row r="710">
      <c r="N710" s="7"/>
    </row>
    <row r="711">
      <c r="N711" s="7"/>
    </row>
    <row r="712">
      <c r="N712" s="7"/>
    </row>
    <row r="713">
      <c r="N713" s="7"/>
    </row>
    <row r="714">
      <c r="N714" s="7"/>
    </row>
    <row r="715">
      <c r="N715" s="7"/>
    </row>
    <row r="716">
      <c r="N716" s="7"/>
    </row>
    <row r="717">
      <c r="N717" s="7"/>
    </row>
    <row r="718">
      <c r="N718" s="7"/>
    </row>
    <row r="719">
      <c r="N719" s="7"/>
    </row>
    <row r="720">
      <c r="N720" s="7"/>
    </row>
    <row r="721">
      <c r="N721" s="7"/>
    </row>
    <row r="722">
      <c r="N722" s="7"/>
    </row>
    <row r="723">
      <c r="N723" s="7"/>
    </row>
    <row r="724">
      <c r="N724" s="7"/>
    </row>
    <row r="725">
      <c r="N725" s="7"/>
    </row>
    <row r="726">
      <c r="N726" s="7"/>
    </row>
    <row r="727">
      <c r="N727" s="7"/>
    </row>
    <row r="728">
      <c r="N728" s="7"/>
    </row>
    <row r="729">
      <c r="N729" s="7"/>
    </row>
    <row r="730">
      <c r="N730" s="7"/>
    </row>
    <row r="731">
      <c r="N731" s="7"/>
    </row>
    <row r="732">
      <c r="N732" s="7"/>
    </row>
    <row r="733">
      <c r="N733" s="7"/>
    </row>
    <row r="734">
      <c r="N734" s="7"/>
    </row>
    <row r="735">
      <c r="N735" s="7"/>
    </row>
    <row r="736">
      <c r="N736" s="7"/>
    </row>
    <row r="737">
      <c r="N737" s="7"/>
    </row>
    <row r="738">
      <c r="N738" s="7"/>
    </row>
    <row r="739">
      <c r="N739" s="7"/>
    </row>
    <row r="740">
      <c r="N740" s="7"/>
    </row>
    <row r="741">
      <c r="N741" s="7"/>
    </row>
    <row r="742">
      <c r="N742" s="7"/>
    </row>
    <row r="743">
      <c r="N743" s="7"/>
    </row>
    <row r="744">
      <c r="N744" s="7"/>
    </row>
    <row r="745">
      <c r="N745" s="7"/>
    </row>
    <row r="746">
      <c r="N746" s="7"/>
    </row>
    <row r="747">
      <c r="N747" s="7"/>
    </row>
    <row r="748">
      <c r="N748" s="7"/>
    </row>
    <row r="749">
      <c r="N749" s="7"/>
    </row>
    <row r="750">
      <c r="N750" s="7"/>
    </row>
    <row r="751">
      <c r="N751" s="7"/>
    </row>
    <row r="752">
      <c r="N752" s="7"/>
    </row>
    <row r="753">
      <c r="N753" s="7"/>
    </row>
    <row r="754">
      <c r="N754" s="7"/>
    </row>
    <row r="755">
      <c r="N755" s="7"/>
    </row>
    <row r="756">
      <c r="N756" s="7"/>
    </row>
    <row r="757">
      <c r="N757" s="7"/>
    </row>
    <row r="758">
      <c r="N758" s="7"/>
    </row>
    <row r="759">
      <c r="N759" s="7"/>
    </row>
    <row r="760">
      <c r="N760" s="7"/>
    </row>
    <row r="761">
      <c r="N761" s="7"/>
    </row>
    <row r="762">
      <c r="N762" s="7"/>
    </row>
    <row r="763">
      <c r="N763" s="7"/>
    </row>
    <row r="764">
      <c r="N764" s="7"/>
    </row>
    <row r="765">
      <c r="N765" s="7"/>
    </row>
    <row r="766">
      <c r="N766" s="7"/>
    </row>
    <row r="767">
      <c r="N767" s="7"/>
    </row>
    <row r="768">
      <c r="N768" s="7"/>
    </row>
    <row r="769">
      <c r="N769" s="7"/>
    </row>
    <row r="770">
      <c r="N770" s="7"/>
    </row>
    <row r="771">
      <c r="N771" s="7"/>
    </row>
    <row r="772">
      <c r="N772" s="7"/>
    </row>
    <row r="773">
      <c r="N773" s="7"/>
    </row>
    <row r="774">
      <c r="N774" s="7"/>
    </row>
    <row r="775">
      <c r="N775" s="7"/>
    </row>
    <row r="776">
      <c r="N776" s="7"/>
    </row>
    <row r="777">
      <c r="N777" s="7"/>
    </row>
    <row r="778">
      <c r="N778" s="7"/>
    </row>
    <row r="779">
      <c r="N779" s="7"/>
    </row>
    <row r="780">
      <c r="N780" s="7"/>
    </row>
    <row r="781">
      <c r="N781" s="7"/>
    </row>
    <row r="782">
      <c r="N782" s="7"/>
    </row>
    <row r="783">
      <c r="N783" s="7"/>
    </row>
    <row r="784">
      <c r="N784" s="7"/>
    </row>
    <row r="785">
      <c r="N785" s="7"/>
    </row>
    <row r="786">
      <c r="N786" s="7"/>
    </row>
    <row r="787">
      <c r="N787" s="7"/>
    </row>
    <row r="788">
      <c r="N788" s="7"/>
    </row>
    <row r="789">
      <c r="N789" s="7"/>
    </row>
    <row r="790">
      <c r="N790" s="7"/>
    </row>
    <row r="791">
      <c r="N791" s="7"/>
    </row>
    <row r="792">
      <c r="N792" s="7"/>
    </row>
    <row r="793">
      <c r="N793" s="7"/>
    </row>
    <row r="794">
      <c r="N794" s="7"/>
    </row>
    <row r="795">
      <c r="N795" s="7"/>
    </row>
    <row r="796">
      <c r="N796" s="7"/>
    </row>
    <row r="797">
      <c r="N797" s="7"/>
    </row>
    <row r="798">
      <c r="N798" s="7"/>
    </row>
    <row r="799">
      <c r="N799" s="7"/>
    </row>
    <row r="800">
      <c r="N800" s="7"/>
    </row>
    <row r="801">
      <c r="N801" s="7"/>
    </row>
    <row r="802">
      <c r="N802" s="7"/>
    </row>
    <row r="803">
      <c r="N803" s="7"/>
    </row>
    <row r="804">
      <c r="N804" s="7"/>
    </row>
    <row r="805">
      <c r="N805" s="7"/>
    </row>
    <row r="806">
      <c r="N806" s="7"/>
    </row>
    <row r="807">
      <c r="N807" s="7"/>
    </row>
    <row r="808">
      <c r="N808" s="7"/>
    </row>
    <row r="809">
      <c r="N809" s="7"/>
    </row>
    <row r="810">
      <c r="N810" s="7"/>
    </row>
    <row r="811">
      <c r="N811" s="7"/>
    </row>
    <row r="812">
      <c r="N812" s="7"/>
    </row>
    <row r="813">
      <c r="N813" s="7"/>
    </row>
    <row r="814">
      <c r="N814" s="7"/>
    </row>
    <row r="815">
      <c r="N815" s="7"/>
    </row>
    <row r="816">
      <c r="N816" s="7"/>
    </row>
    <row r="817">
      <c r="N817" s="7"/>
    </row>
    <row r="818">
      <c r="N818" s="7"/>
    </row>
    <row r="819">
      <c r="N819" s="7"/>
    </row>
    <row r="820">
      <c r="N820" s="7"/>
    </row>
    <row r="821">
      <c r="N821" s="7"/>
    </row>
    <row r="822">
      <c r="N822" s="7"/>
    </row>
    <row r="823">
      <c r="N823" s="7"/>
    </row>
    <row r="824">
      <c r="N824" s="7"/>
    </row>
    <row r="825">
      <c r="N825" s="7"/>
    </row>
    <row r="826">
      <c r="N826" s="7"/>
    </row>
    <row r="827">
      <c r="N827" s="7"/>
    </row>
    <row r="828">
      <c r="N828" s="7"/>
    </row>
    <row r="829">
      <c r="N829" s="7"/>
    </row>
    <row r="830">
      <c r="N830" s="7"/>
    </row>
    <row r="831">
      <c r="N831" s="7"/>
    </row>
    <row r="832">
      <c r="N832" s="7"/>
    </row>
    <row r="833">
      <c r="N833" s="7"/>
    </row>
    <row r="834">
      <c r="N834" s="7"/>
    </row>
    <row r="835">
      <c r="N835" s="7"/>
    </row>
    <row r="836">
      <c r="N836" s="7"/>
    </row>
    <row r="837">
      <c r="N837" s="7"/>
    </row>
    <row r="838">
      <c r="N838" s="7"/>
    </row>
    <row r="839">
      <c r="N839" s="7"/>
    </row>
    <row r="840">
      <c r="N840" s="7"/>
    </row>
    <row r="841">
      <c r="N841" s="7"/>
    </row>
    <row r="842">
      <c r="N842" s="7"/>
    </row>
    <row r="843">
      <c r="N843" s="7"/>
    </row>
    <row r="844">
      <c r="N844" s="7"/>
    </row>
    <row r="845">
      <c r="N845" s="7"/>
    </row>
    <row r="846">
      <c r="N846" s="7"/>
    </row>
    <row r="847">
      <c r="N847" s="7"/>
    </row>
    <row r="848">
      <c r="N848" s="7"/>
    </row>
    <row r="849">
      <c r="N849" s="7"/>
    </row>
    <row r="850">
      <c r="N850" s="7"/>
    </row>
    <row r="851">
      <c r="N851" s="7"/>
    </row>
    <row r="852">
      <c r="N852" s="7"/>
    </row>
    <row r="853">
      <c r="N853" s="7"/>
    </row>
    <row r="854">
      <c r="N854" s="7"/>
    </row>
    <row r="855">
      <c r="N855" s="7"/>
    </row>
    <row r="856">
      <c r="N856" s="7"/>
    </row>
    <row r="857">
      <c r="N857" s="7"/>
    </row>
    <row r="858">
      <c r="N858" s="7"/>
    </row>
    <row r="859">
      <c r="N859" s="7"/>
    </row>
    <row r="860">
      <c r="N860" s="7"/>
    </row>
    <row r="861">
      <c r="N861" s="7"/>
    </row>
    <row r="862">
      <c r="N862" s="7"/>
    </row>
    <row r="863">
      <c r="N863" s="7"/>
    </row>
    <row r="864">
      <c r="N864" s="7"/>
    </row>
    <row r="865">
      <c r="N865" s="7"/>
    </row>
    <row r="866">
      <c r="N866" s="7"/>
    </row>
    <row r="867">
      <c r="N867" s="7"/>
    </row>
    <row r="868">
      <c r="N868" s="7"/>
    </row>
    <row r="869">
      <c r="N869" s="7"/>
    </row>
    <row r="870">
      <c r="N870" s="7"/>
    </row>
    <row r="871">
      <c r="N871" s="7"/>
    </row>
    <row r="872">
      <c r="N872" s="7"/>
    </row>
    <row r="873">
      <c r="N873" s="7"/>
    </row>
    <row r="874">
      <c r="N874" s="7"/>
    </row>
    <row r="875">
      <c r="N875" s="7"/>
    </row>
    <row r="876">
      <c r="N876" s="7"/>
    </row>
    <row r="877">
      <c r="N877" s="7"/>
    </row>
    <row r="878">
      <c r="N878" s="7"/>
    </row>
    <row r="879">
      <c r="N879" s="7"/>
    </row>
    <row r="880">
      <c r="N880" s="7"/>
    </row>
    <row r="881">
      <c r="N881" s="7"/>
    </row>
    <row r="882">
      <c r="N882" s="7"/>
    </row>
    <row r="883">
      <c r="N883" s="7"/>
    </row>
    <row r="884">
      <c r="N884" s="7"/>
    </row>
    <row r="885">
      <c r="N885" s="7"/>
    </row>
    <row r="886">
      <c r="N886" s="7"/>
    </row>
    <row r="887">
      <c r="N887" s="7"/>
    </row>
    <row r="888">
      <c r="N888" s="7"/>
    </row>
    <row r="889">
      <c r="N889" s="7"/>
    </row>
    <row r="890">
      <c r="N890" s="7"/>
    </row>
    <row r="891">
      <c r="N891" s="7"/>
    </row>
    <row r="892">
      <c r="N892" s="7"/>
    </row>
    <row r="893">
      <c r="N893" s="7"/>
    </row>
    <row r="894">
      <c r="N894" s="7"/>
    </row>
    <row r="895">
      <c r="N895" s="7"/>
    </row>
    <row r="896">
      <c r="N896" s="7"/>
    </row>
    <row r="897">
      <c r="N897" s="7"/>
    </row>
    <row r="898">
      <c r="N898" s="7"/>
    </row>
    <row r="899">
      <c r="N899" s="7"/>
    </row>
    <row r="900">
      <c r="N900" s="7"/>
    </row>
    <row r="901">
      <c r="N901" s="7"/>
    </row>
    <row r="902">
      <c r="N902" s="7"/>
    </row>
    <row r="903">
      <c r="N903" s="7"/>
    </row>
    <row r="904">
      <c r="N904" s="7"/>
    </row>
    <row r="905">
      <c r="N905" s="7"/>
    </row>
    <row r="906">
      <c r="N906" s="7"/>
    </row>
    <row r="907">
      <c r="N907" s="7"/>
    </row>
    <row r="908">
      <c r="N908" s="7"/>
    </row>
    <row r="909">
      <c r="N909" s="7"/>
    </row>
    <row r="910">
      <c r="N910" s="7"/>
    </row>
    <row r="911">
      <c r="N911" s="7"/>
    </row>
    <row r="912">
      <c r="N912" s="7"/>
    </row>
    <row r="913">
      <c r="N913" s="7"/>
    </row>
    <row r="914">
      <c r="N914" s="7"/>
    </row>
    <row r="915">
      <c r="N915" s="7"/>
    </row>
    <row r="916">
      <c r="N916" s="7"/>
    </row>
    <row r="917">
      <c r="N917" s="7"/>
    </row>
    <row r="918">
      <c r="N918" s="7"/>
    </row>
    <row r="919">
      <c r="N919" s="7"/>
    </row>
    <row r="920">
      <c r="N920" s="7"/>
    </row>
    <row r="921">
      <c r="N921" s="7"/>
    </row>
    <row r="922">
      <c r="N922" s="7"/>
    </row>
    <row r="923">
      <c r="N923" s="7"/>
    </row>
    <row r="924">
      <c r="N924" s="7"/>
    </row>
    <row r="925">
      <c r="N925" s="7"/>
    </row>
    <row r="926">
      <c r="N926" s="7"/>
    </row>
    <row r="927">
      <c r="N927" s="7"/>
    </row>
    <row r="928">
      <c r="N928" s="7"/>
    </row>
    <row r="929">
      <c r="N929" s="7"/>
    </row>
    <row r="930">
      <c r="N930" s="7"/>
    </row>
    <row r="931">
      <c r="N931" s="7"/>
    </row>
    <row r="932">
      <c r="N932" s="7"/>
    </row>
    <row r="933">
      <c r="N933" s="7"/>
    </row>
    <row r="934">
      <c r="N934" s="7"/>
    </row>
    <row r="935">
      <c r="N935" s="7"/>
    </row>
    <row r="936">
      <c r="N936" s="7"/>
    </row>
    <row r="937">
      <c r="N937" s="7"/>
    </row>
    <row r="938">
      <c r="N938" s="7"/>
    </row>
    <row r="939">
      <c r="N939" s="7"/>
    </row>
    <row r="940">
      <c r="N940" s="7"/>
    </row>
    <row r="941">
      <c r="N941" s="7"/>
    </row>
    <row r="942">
      <c r="N942" s="7"/>
    </row>
    <row r="943">
      <c r="N943" s="7"/>
    </row>
    <row r="944">
      <c r="N944" s="7"/>
    </row>
    <row r="945">
      <c r="N945" s="7"/>
    </row>
    <row r="946">
      <c r="N946" s="7"/>
    </row>
    <row r="947">
      <c r="N947" s="7"/>
    </row>
    <row r="948">
      <c r="N948" s="7"/>
    </row>
    <row r="949">
      <c r="N949" s="7"/>
    </row>
    <row r="950">
      <c r="N950" s="7"/>
    </row>
    <row r="951">
      <c r="N951" s="7"/>
    </row>
    <row r="952">
      <c r="N952" s="7"/>
    </row>
    <row r="953">
      <c r="N953" s="7"/>
    </row>
    <row r="954">
      <c r="N954" s="7"/>
    </row>
    <row r="955">
      <c r="N955" s="7"/>
    </row>
    <row r="956">
      <c r="N956" s="7"/>
    </row>
    <row r="957">
      <c r="N957" s="7"/>
    </row>
    <row r="958">
      <c r="N958" s="7"/>
    </row>
    <row r="959">
      <c r="N959" s="7"/>
    </row>
    <row r="960">
      <c r="N960" s="7"/>
    </row>
    <row r="961">
      <c r="N961" s="7"/>
    </row>
    <row r="962">
      <c r="N962" s="7"/>
    </row>
    <row r="963">
      <c r="N963" s="7"/>
    </row>
    <row r="964">
      <c r="N964" s="7"/>
    </row>
    <row r="965">
      <c r="N965" s="7"/>
    </row>
    <row r="966">
      <c r="N966" s="7"/>
    </row>
    <row r="967">
      <c r="N967" s="7"/>
    </row>
    <row r="968">
      <c r="N968" s="7"/>
    </row>
    <row r="969">
      <c r="N969" s="7"/>
    </row>
    <row r="970">
      <c r="N970" s="7"/>
    </row>
    <row r="971">
      <c r="N971" s="7"/>
    </row>
    <row r="972">
      <c r="N972" s="7"/>
    </row>
    <row r="973">
      <c r="N973" s="7"/>
    </row>
    <row r="974">
      <c r="N974" s="7"/>
    </row>
    <row r="975">
      <c r="N975" s="7"/>
    </row>
    <row r="976">
      <c r="N976" s="7"/>
    </row>
    <row r="977">
      <c r="N977" s="7"/>
    </row>
    <row r="978">
      <c r="N978" s="7"/>
    </row>
    <row r="979">
      <c r="N979" s="7"/>
    </row>
    <row r="980">
      <c r="N980" s="7"/>
    </row>
    <row r="981">
      <c r="N981" s="7"/>
    </row>
    <row r="982">
      <c r="N982" s="7"/>
    </row>
    <row r="983">
      <c r="N983" s="7"/>
    </row>
    <row r="984">
      <c r="N984" s="7"/>
    </row>
    <row r="985">
      <c r="N985" s="7"/>
    </row>
    <row r="986">
      <c r="N986" s="7"/>
    </row>
    <row r="987">
      <c r="N987" s="7"/>
    </row>
    <row r="988">
      <c r="N988" s="7"/>
    </row>
    <row r="989">
      <c r="N989" s="7"/>
    </row>
    <row r="990">
      <c r="N990" s="7"/>
    </row>
    <row r="991">
      <c r="N991" s="7"/>
    </row>
    <row r="992">
      <c r="N992" s="7"/>
    </row>
    <row r="993">
      <c r="N993" s="7"/>
    </row>
    <row r="994">
      <c r="N994" s="7"/>
    </row>
    <row r="995">
      <c r="N995" s="7"/>
    </row>
    <row r="996">
      <c r="N996" s="7"/>
    </row>
    <row r="997">
      <c r="N997" s="7"/>
    </row>
    <row r="998">
      <c r="N998" s="7"/>
    </row>
    <row r="999">
      <c r="N999" s="7"/>
    </row>
    <row r="1000">
      <c r="N1000" s="7"/>
    </row>
    <row r="1001">
      <c r="N1001" s="7"/>
    </row>
    <row r="1002">
      <c r="N1002" s="7"/>
    </row>
    <row r="1003">
      <c r="N1003" s="7"/>
    </row>
    <row r="1004">
      <c r="N1004" s="7"/>
    </row>
    <row r="1005">
      <c r="N1005" s="7"/>
    </row>
    <row r="1006">
      <c r="N1006" s="7"/>
    </row>
    <row r="1007">
      <c r="N1007" s="7"/>
    </row>
    <row r="1008">
      <c r="N1008" s="7"/>
    </row>
    <row r="1009">
      <c r="N1009" s="7"/>
    </row>
    <row r="1010">
      <c r="N1010" s="7"/>
    </row>
    <row r="1011">
      <c r="N1011" s="7"/>
    </row>
    <row r="1012">
      <c r="N1012" s="7"/>
    </row>
    <row r="1013">
      <c r="N1013" s="7"/>
    </row>
    <row r="1014">
      <c r="N1014" s="7"/>
    </row>
    <row r="1015">
      <c r="N1015" s="7"/>
    </row>
    <row r="1016">
      <c r="N1016" s="7"/>
    </row>
    <row r="1017">
      <c r="N1017" s="7"/>
    </row>
    <row r="1018">
      <c r="N1018" s="7"/>
    </row>
    <row r="1019">
      <c r="N1019" s="7"/>
    </row>
    <row r="1020">
      <c r="N1020" s="7"/>
    </row>
    <row r="1021">
      <c r="N1021" s="7"/>
    </row>
    <row r="1022">
      <c r="N1022" s="7"/>
    </row>
    <row r="1023">
      <c r="N1023" s="7"/>
    </row>
    <row r="1024">
      <c r="N1024" s="7"/>
    </row>
    <row r="1025">
      <c r="N1025" s="7"/>
    </row>
    <row r="1026">
      <c r="N1026" s="7"/>
    </row>
    <row r="1027">
      <c r="N1027" s="7"/>
    </row>
    <row r="1028">
      <c r="N1028" s="7"/>
    </row>
    <row r="1029">
      <c r="N1029" s="7"/>
    </row>
    <row r="1030">
      <c r="N1030" s="7"/>
    </row>
    <row r="1031">
      <c r="N1031" s="7"/>
    </row>
    <row r="1032">
      <c r="N1032" s="7"/>
    </row>
    <row r="1033">
      <c r="N1033" s="7"/>
    </row>
    <row r="1034">
      <c r="N1034" s="7"/>
    </row>
    <row r="1035">
      <c r="N1035" s="7"/>
    </row>
    <row r="1036">
      <c r="N1036" s="7"/>
    </row>
    <row r="1037">
      <c r="N1037" s="7"/>
    </row>
    <row r="1038">
      <c r="N1038" s="7"/>
    </row>
    <row r="1039">
      <c r="N1039" s="7"/>
    </row>
    <row r="1040">
      <c r="N1040" s="7"/>
    </row>
    <row r="1041">
      <c r="N1041" s="7"/>
    </row>
    <row r="1042">
      <c r="N1042" s="7"/>
    </row>
    <row r="1043">
      <c r="N1043" s="7"/>
    </row>
    <row r="1044">
      <c r="N1044" s="7"/>
    </row>
    <row r="1045">
      <c r="N1045" s="7"/>
    </row>
    <row r="1046">
      <c r="N1046" s="7"/>
    </row>
    <row r="1047">
      <c r="N1047" s="7"/>
    </row>
    <row r="1048">
      <c r="N1048" s="7"/>
    </row>
    <row r="1049">
      <c r="N1049" s="7"/>
    </row>
    <row r="1050">
      <c r="N1050" s="7"/>
    </row>
    <row r="1051">
      <c r="N1051" s="7"/>
    </row>
    <row r="1052">
      <c r="N1052" s="7"/>
    </row>
    <row r="1053">
      <c r="N1053" s="7"/>
    </row>
    <row r="1054">
      <c r="N1054" s="7"/>
    </row>
    <row r="1055">
      <c r="N1055" s="7"/>
    </row>
    <row r="1056">
      <c r="N1056" s="7"/>
    </row>
    <row r="1057">
      <c r="N1057" s="7"/>
    </row>
    <row r="1058">
      <c r="N1058" s="7"/>
    </row>
    <row r="1059">
      <c r="N1059" s="7"/>
    </row>
    <row r="1060">
      <c r="N1060" s="7"/>
    </row>
    <row r="1061">
      <c r="N1061" s="7"/>
    </row>
    <row r="1062">
      <c r="N1062" s="7"/>
    </row>
    <row r="1063">
      <c r="N1063" s="7"/>
    </row>
    <row r="1064">
      <c r="N1064" s="7"/>
    </row>
    <row r="1065">
      <c r="N1065" s="7"/>
    </row>
    <row r="1066">
      <c r="N1066" s="7"/>
    </row>
    <row r="1067">
      <c r="N1067" s="7"/>
    </row>
    <row r="1068">
      <c r="N1068" s="7"/>
    </row>
    <row r="1069">
      <c r="N1069" s="7"/>
    </row>
    <row r="1070">
      <c r="N1070" s="7"/>
    </row>
    <row r="1071">
      <c r="N1071" s="7"/>
    </row>
    <row r="1072">
      <c r="N1072" s="7"/>
    </row>
    <row r="1073">
      <c r="N1073" s="7"/>
    </row>
    <row r="1074">
      <c r="N1074" s="7"/>
    </row>
    <row r="1075">
      <c r="N1075" s="7"/>
    </row>
    <row r="1076">
      <c r="N1076" s="7"/>
    </row>
    <row r="1077">
      <c r="N1077" s="7"/>
    </row>
    <row r="1078">
      <c r="N1078" s="7"/>
    </row>
    <row r="1079">
      <c r="N1079" s="7"/>
    </row>
    <row r="1080">
      <c r="N1080" s="7"/>
    </row>
    <row r="1081">
      <c r="N1081" s="7"/>
    </row>
    <row r="1082">
      <c r="N1082" s="7"/>
    </row>
    <row r="1083">
      <c r="N1083" s="7"/>
    </row>
    <row r="1084">
      <c r="N1084" s="7"/>
    </row>
    <row r="1085">
      <c r="N1085" s="7"/>
    </row>
    <row r="1086">
      <c r="N1086" s="7"/>
    </row>
    <row r="1087">
      <c r="N1087" s="7"/>
    </row>
    <row r="1088">
      <c r="N1088" s="7"/>
    </row>
    <row r="1089">
      <c r="N1089" s="7"/>
    </row>
    <row r="1090">
      <c r="N1090" s="7"/>
    </row>
    <row r="1091">
      <c r="N1091" s="7"/>
    </row>
    <row r="1092">
      <c r="N1092" s="7"/>
    </row>
    <row r="1093">
      <c r="N1093" s="7"/>
    </row>
    <row r="1094">
      <c r="N1094" s="7"/>
    </row>
    <row r="1095">
      <c r="N1095" s="7"/>
    </row>
    <row r="1096">
      <c r="N1096" s="7"/>
    </row>
    <row r="1097">
      <c r="N1097" s="7"/>
    </row>
    <row r="1098">
      <c r="N1098" s="7"/>
    </row>
    <row r="1099">
      <c r="N1099" s="7"/>
    </row>
    <row r="1100">
      <c r="N1100" s="7"/>
    </row>
    <row r="1101">
      <c r="N1101" s="7"/>
    </row>
    <row r="1102">
      <c r="N1102" s="7"/>
    </row>
    <row r="1103">
      <c r="N1103" s="7"/>
    </row>
    <row r="1104">
      <c r="N1104" s="7"/>
    </row>
    <row r="1105">
      <c r="N1105" s="7"/>
    </row>
    <row r="1106">
      <c r="N1106" s="7"/>
    </row>
    <row r="1107">
      <c r="N1107" s="7"/>
    </row>
    <row r="1108">
      <c r="N1108" s="7"/>
    </row>
    <row r="1109">
      <c r="N1109" s="7"/>
    </row>
    <row r="1110">
      <c r="N1110" s="7"/>
    </row>
    <row r="1111">
      <c r="N1111" s="7"/>
    </row>
    <row r="1112">
      <c r="N1112" s="7"/>
    </row>
    <row r="1113">
      <c r="N1113" s="7"/>
    </row>
    <row r="1114">
      <c r="N1114" s="7"/>
    </row>
    <row r="1115">
      <c r="N1115" s="7"/>
    </row>
    <row r="1116">
      <c r="N1116" s="7"/>
    </row>
    <row r="1117">
      <c r="N1117" s="7"/>
    </row>
    <row r="1118">
      <c r="N1118" s="7"/>
    </row>
    <row r="1119">
      <c r="N1119" s="7"/>
    </row>
    <row r="1120">
      <c r="N1120" s="7"/>
    </row>
    <row r="1121">
      <c r="N1121" s="7"/>
    </row>
    <row r="1122">
      <c r="N1122" s="7"/>
    </row>
    <row r="1123">
      <c r="N1123" s="7"/>
    </row>
    <row r="1124">
      <c r="N1124" s="7"/>
    </row>
    <row r="1125">
      <c r="N1125" s="7"/>
    </row>
    <row r="1126">
      <c r="N1126" s="7"/>
    </row>
    <row r="1127">
      <c r="N1127" s="7"/>
    </row>
    <row r="1128">
      <c r="N1128" s="7"/>
    </row>
    <row r="1129">
      <c r="N1129" s="7"/>
    </row>
    <row r="1130">
      <c r="N1130" s="7"/>
    </row>
    <row r="1131">
      <c r="N1131" s="7"/>
    </row>
    <row r="1132">
      <c r="N1132" s="7"/>
    </row>
    <row r="1133">
      <c r="N1133" s="7"/>
    </row>
    <row r="1134">
      <c r="N1134" s="7"/>
    </row>
    <row r="1135">
      <c r="N1135" s="7"/>
    </row>
    <row r="1136">
      <c r="N1136" s="7"/>
    </row>
    <row r="1137">
      <c r="N1137" s="7"/>
    </row>
    <row r="1138">
      <c r="N1138" s="7"/>
    </row>
    <row r="1139">
      <c r="N1139" s="7"/>
    </row>
    <row r="1140">
      <c r="N1140" s="7"/>
    </row>
    <row r="1141">
      <c r="N1141" s="7"/>
    </row>
    <row r="1142">
      <c r="N1142" s="7"/>
    </row>
    <row r="1143">
      <c r="N1143" s="7"/>
    </row>
    <row r="1144">
      <c r="N1144" s="7"/>
    </row>
    <row r="1145">
      <c r="N1145" s="7"/>
    </row>
    <row r="1146">
      <c r="N1146" s="7"/>
    </row>
    <row r="1147">
      <c r="N1147" s="7"/>
    </row>
    <row r="1148">
      <c r="N1148" s="7"/>
    </row>
    <row r="1149">
      <c r="N1149" s="7"/>
    </row>
    <row r="1150">
      <c r="N1150" s="7"/>
    </row>
    <row r="1151">
      <c r="N1151" s="7"/>
    </row>
    <row r="1152">
      <c r="N1152" s="7"/>
    </row>
    <row r="1153">
      <c r="N1153" s="7"/>
    </row>
    <row r="1154">
      <c r="N1154" s="7"/>
    </row>
    <row r="1155">
      <c r="N1155" s="7"/>
    </row>
    <row r="1156">
      <c r="N1156" s="7"/>
    </row>
    <row r="1157">
      <c r="N1157" s="7"/>
    </row>
    <row r="1158">
      <c r="N1158" s="7"/>
    </row>
    <row r="1159">
      <c r="N1159" s="7"/>
    </row>
    <row r="1160">
      <c r="N1160" s="7"/>
    </row>
    <row r="1161">
      <c r="N1161" s="7"/>
    </row>
    <row r="1162">
      <c r="N1162" s="7"/>
    </row>
    <row r="1163">
      <c r="N1163" s="7"/>
    </row>
    <row r="1164">
      <c r="N1164" s="7"/>
    </row>
    <row r="1165">
      <c r="N1165" s="7"/>
    </row>
    <row r="1166">
      <c r="N1166" s="7"/>
    </row>
    <row r="1167">
      <c r="N1167" s="7"/>
    </row>
    <row r="1168">
      <c r="N1168" s="7"/>
    </row>
    <row r="1169">
      <c r="N1169" s="7"/>
    </row>
    <row r="1170">
      <c r="N1170" s="7"/>
    </row>
    <row r="1171">
      <c r="N1171" s="7"/>
    </row>
    <row r="1172">
      <c r="N1172" s="7"/>
    </row>
    <row r="1173">
      <c r="N1173" s="7"/>
    </row>
    <row r="1174">
      <c r="N1174" s="7"/>
    </row>
    <row r="1175">
      <c r="N1175" s="7"/>
    </row>
    <row r="1176">
      <c r="N1176" s="7"/>
    </row>
    <row r="1177">
      <c r="N1177" s="7"/>
    </row>
    <row r="1178">
      <c r="N1178" s="7"/>
    </row>
    <row r="1179">
      <c r="N1179" s="7"/>
    </row>
    <row r="1180">
      <c r="N1180" s="7"/>
    </row>
    <row r="1181">
      <c r="N1181" s="7"/>
    </row>
    <row r="1182">
      <c r="N1182" s="7"/>
    </row>
    <row r="1183">
      <c r="N1183" s="7"/>
    </row>
    <row r="1184">
      <c r="N1184" s="7"/>
    </row>
  </sheetData>
  <mergeCells count="68">
    <mergeCell ref="B238:U238"/>
    <mergeCell ref="U240:U241"/>
    <mergeCell ref="B248:U248"/>
    <mergeCell ref="V250:V255"/>
    <mergeCell ref="B131:T131"/>
    <mergeCell ref="A160:T160"/>
    <mergeCell ref="A173:T173"/>
    <mergeCell ref="B181:T181"/>
    <mergeCell ref="B205:U205"/>
    <mergeCell ref="B222:U222"/>
    <mergeCell ref="B230:U230"/>
    <mergeCell ref="V256:V268"/>
    <mergeCell ref="V269:V276"/>
    <mergeCell ref="V277:V285"/>
    <mergeCell ref="B293:U293"/>
    <mergeCell ref="B305:T305"/>
    <mergeCell ref="B314:T314"/>
    <mergeCell ref="U162:U165"/>
    <mergeCell ref="U183:U185"/>
    <mergeCell ref="T184:T185"/>
    <mergeCell ref="U186:U189"/>
    <mergeCell ref="U190:U193"/>
    <mergeCell ref="U194:U195"/>
    <mergeCell ref="U207:U208"/>
    <mergeCell ref="B1:F1"/>
    <mergeCell ref="H1:M1"/>
    <mergeCell ref="P1:T1"/>
    <mergeCell ref="W1:AA1"/>
    <mergeCell ref="AD1:AH1"/>
    <mergeCell ref="AK1:AO1"/>
    <mergeCell ref="AR1:AV1"/>
    <mergeCell ref="Y3:Y4"/>
    <mergeCell ref="Z3:Z4"/>
    <mergeCell ref="AA3:AA4"/>
    <mergeCell ref="Z9:Z10"/>
    <mergeCell ref="AA9:AA10"/>
    <mergeCell ref="M12:M14"/>
    <mergeCell ref="AT13:AX13"/>
    <mergeCell ref="AK13:AO13"/>
    <mergeCell ref="AO15:AO16"/>
    <mergeCell ref="AX16:AX17"/>
    <mergeCell ref="H17:L17"/>
    <mergeCell ref="AA18:AA20"/>
    <mergeCell ref="J23:N23"/>
    <mergeCell ref="R23:V23"/>
    <mergeCell ref="F55:F58"/>
    <mergeCell ref="F60:F62"/>
    <mergeCell ref="F64:F72"/>
    <mergeCell ref="F74:F78"/>
    <mergeCell ref="B82:T82"/>
    <mergeCell ref="U84:U88"/>
    <mergeCell ref="U89:U94"/>
    <mergeCell ref="U95:U100"/>
    <mergeCell ref="T99:T100"/>
    <mergeCell ref="U101:U103"/>
    <mergeCell ref="B112:T112"/>
    <mergeCell ref="U114:U115"/>
    <mergeCell ref="U116:U117"/>
    <mergeCell ref="U118:U122"/>
    <mergeCell ref="T117:T119"/>
    <mergeCell ref="T121:T122"/>
    <mergeCell ref="U133:U137"/>
    <mergeCell ref="U139:U145"/>
    <mergeCell ref="T146:T148"/>
    <mergeCell ref="U146:U150"/>
    <mergeCell ref="T149:T150"/>
    <mergeCell ref="U209:U211"/>
    <mergeCell ref="U212:U214"/>
  </mergeCells>
  <hyperlinks>
    <hyperlink r:id="rId2" ref="K84"/>
    <hyperlink r:id="rId3" ref="L84"/>
    <hyperlink r:id="rId4" ref="L85"/>
    <hyperlink r:id="rId5" ref="L86"/>
    <hyperlink r:id="rId6" ref="L87"/>
    <hyperlink r:id="rId7" ref="L88"/>
    <hyperlink r:id="rId8" ref="K89"/>
    <hyperlink r:id="rId9" ref="L89"/>
    <hyperlink r:id="rId10" ref="K90"/>
    <hyperlink r:id="rId11" ref="L90"/>
    <hyperlink r:id="rId12" ref="L91"/>
    <hyperlink r:id="rId13" ref="L92"/>
    <hyperlink r:id="rId14" ref="L93"/>
    <hyperlink r:id="rId15" ref="L94"/>
    <hyperlink r:id="rId16" ref="L95"/>
    <hyperlink r:id="rId17" ref="L96"/>
    <hyperlink r:id="rId18" ref="L97"/>
    <hyperlink r:id="rId19" ref="L98"/>
    <hyperlink r:id="rId20" ref="L99"/>
    <hyperlink r:id="rId21" ref="L100"/>
    <hyperlink r:id="rId22" ref="L101"/>
    <hyperlink r:id="rId23" ref="K102"/>
    <hyperlink r:id="rId24" ref="L102"/>
    <hyperlink r:id="rId25" ref="K103"/>
    <hyperlink r:id="rId26" ref="L103"/>
    <hyperlink r:id="rId27" ref="K114"/>
    <hyperlink r:id="rId28" ref="L114"/>
    <hyperlink r:id="rId29" ref="L115"/>
    <hyperlink r:id="rId30" ref="L116"/>
    <hyperlink r:id="rId31" ref="L117"/>
    <hyperlink r:id="rId32" ref="L118"/>
    <hyperlink r:id="rId33" ref="L119"/>
    <hyperlink r:id="rId34" ref="L120"/>
    <hyperlink r:id="rId35" ref="L121"/>
    <hyperlink r:id="rId36" ref="L122"/>
    <hyperlink r:id="rId37" ref="L133"/>
    <hyperlink r:id="rId38" ref="L135"/>
    <hyperlink r:id="rId39" ref="L136"/>
    <hyperlink r:id="rId40" ref="L137"/>
    <hyperlink r:id="rId41" ref="L138"/>
    <hyperlink r:id="rId42" ref="L139"/>
    <hyperlink r:id="rId43" ref="L140"/>
    <hyperlink r:id="rId44" ref="L141"/>
    <hyperlink r:id="rId45" ref="L142"/>
    <hyperlink r:id="rId46" ref="L143"/>
    <hyperlink r:id="rId47" ref="L144"/>
    <hyperlink r:id="rId48" ref="L145"/>
    <hyperlink r:id="rId49" ref="L146"/>
    <hyperlink r:id="rId50" ref="L147"/>
    <hyperlink r:id="rId51" ref="L148"/>
    <hyperlink r:id="rId52" ref="L149"/>
    <hyperlink r:id="rId53" ref="L150"/>
    <hyperlink r:id="rId54" ref="L162"/>
    <hyperlink r:id="rId55" ref="K163"/>
    <hyperlink r:id="rId56" ref="L163"/>
    <hyperlink r:id="rId57" ref="L164"/>
    <hyperlink r:id="rId58" ref="L165"/>
    <hyperlink r:id="rId59" ref="L166"/>
    <hyperlink r:id="rId60" ref="L175"/>
    <hyperlink r:id="rId61" ref="L183"/>
    <hyperlink r:id="rId62" ref="L184"/>
    <hyperlink r:id="rId63" ref="L185"/>
    <hyperlink r:id="rId64" ref="L186"/>
    <hyperlink r:id="rId65" ref="L187"/>
    <hyperlink r:id="rId66" ref="L188"/>
    <hyperlink r:id="rId67" ref="L189"/>
    <hyperlink r:id="rId68" ref="L190"/>
    <hyperlink r:id="rId69" ref="L191"/>
    <hyperlink r:id="rId70" ref="L192"/>
    <hyperlink r:id="rId71" ref="L193"/>
    <hyperlink r:id="rId72" ref="L194"/>
    <hyperlink r:id="rId73" ref="L195"/>
    <hyperlink r:id="rId74" ref="L207"/>
    <hyperlink r:id="rId75" ref="L208"/>
    <hyperlink r:id="rId76" ref="L209"/>
    <hyperlink r:id="rId77" ref="L210"/>
    <hyperlink r:id="rId78" ref="L211"/>
    <hyperlink r:id="rId79" ref="L212"/>
    <hyperlink r:id="rId80" ref="L213"/>
    <hyperlink r:id="rId81" ref="L214"/>
    <hyperlink r:id="rId82" ref="L215"/>
    <hyperlink r:id="rId83" ref="L224"/>
    <hyperlink r:id="rId84" ref="L232"/>
    <hyperlink r:id="rId85" ref="L240"/>
    <hyperlink r:id="rId86" ref="L241"/>
    <hyperlink r:id="rId87" ref="L242"/>
    <hyperlink r:id="rId88" ref="L251"/>
    <hyperlink r:id="rId89" ref="L252"/>
    <hyperlink r:id="rId90" ref="L254"/>
    <hyperlink r:id="rId91" ref="L255"/>
    <hyperlink r:id="rId92" ref="L256"/>
    <hyperlink r:id="rId93" ref="L257"/>
    <hyperlink r:id="rId94" ref="L258"/>
    <hyperlink r:id="rId95" ref="L259"/>
    <hyperlink r:id="rId96" ref="L261"/>
    <hyperlink r:id="rId97" ref="L263"/>
    <hyperlink r:id="rId98" ref="L264"/>
    <hyperlink r:id="rId99" ref="L265"/>
    <hyperlink r:id="rId100" ref="L266"/>
    <hyperlink r:id="rId101" ref="L268"/>
    <hyperlink r:id="rId102" ref="L269"/>
    <hyperlink r:id="rId103" ref="L270"/>
    <hyperlink r:id="rId104" ref="L271"/>
    <hyperlink r:id="rId105" ref="L272"/>
    <hyperlink r:id="rId106" ref="L273"/>
    <hyperlink r:id="rId107" ref="L274"/>
    <hyperlink r:id="rId108" ref="L275"/>
    <hyperlink r:id="rId109" ref="L276"/>
    <hyperlink r:id="rId110" ref="L277"/>
    <hyperlink r:id="rId111" ref="L278"/>
    <hyperlink r:id="rId112" ref="L279"/>
    <hyperlink r:id="rId113" ref="L280"/>
    <hyperlink r:id="rId114" ref="L281"/>
    <hyperlink r:id="rId115" ref="L282"/>
    <hyperlink r:id="rId116" ref="K283"/>
    <hyperlink r:id="rId117" ref="L283"/>
    <hyperlink r:id="rId118" ref="K284"/>
    <hyperlink r:id="rId119" ref="L284"/>
    <hyperlink r:id="rId120" ref="L285"/>
    <hyperlink r:id="rId121" ref="L295"/>
    <hyperlink r:id="rId122" ref="L296"/>
    <hyperlink r:id="rId123" ref="L307"/>
  </hyperlinks>
  <drawing r:id="rId124"/>
  <legacyDrawing r:id="rId1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7.5"/>
    <col customWidth="1" min="6" max="6" width="17.38"/>
    <col customWidth="1" min="14" max="14" width="16.25"/>
    <col customWidth="1" min="18" max="18" width="13.88"/>
    <col customWidth="1" min="19" max="19" width="16.63"/>
    <col customWidth="1" min="22" max="22" width="17.25"/>
    <col customWidth="1" min="27" max="27" width="17.0"/>
  </cols>
  <sheetData>
    <row r="1">
      <c r="B1" s="1"/>
      <c r="C1" s="3" t="s">
        <v>0</v>
      </c>
      <c r="D1" s="4"/>
      <c r="E1" s="4"/>
      <c r="F1" s="4"/>
      <c r="G1" s="6"/>
      <c r="J1" s="8" t="s">
        <v>2</v>
      </c>
      <c r="R1" s="9"/>
      <c r="S1" s="11" t="s">
        <v>5</v>
      </c>
      <c r="T1" s="4"/>
      <c r="U1" s="4"/>
      <c r="V1" s="4"/>
      <c r="W1" s="6"/>
      <c r="Y1" s="9"/>
      <c r="Z1" s="14" t="s">
        <v>7</v>
      </c>
      <c r="AG1" s="12"/>
      <c r="AH1" s="12" t="s">
        <v>9</v>
      </c>
    </row>
    <row r="2">
      <c r="B2" s="16" t="s">
        <v>10</v>
      </c>
      <c r="C2" s="18" t="s">
        <v>11</v>
      </c>
      <c r="D2" s="18" t="s">
        <v>13</v>
      </c>
      <c r="E2" s="18" t="s">
        <v>14</v>
      </c>
      <c r="F2" s="18" t="s">
        <v>15</v>
      </c>
      <c r="G2" s="18" t="s">
        <v>16</v>
      </c>
      <c r="J2" s="16" t="s">
        <v>10</v>
      </c>
      <c r="K2" s="18" t="s">
        <v>11</v>
      </c>
      <c r="L2" s="18" t="s">
        <v>13</v>
      </c>
      <c r="M2" s="18" t="s">
        <v>14</v>
      </c>
      <c r="N2" s="18" t="s">
        <v>15</v>
      </c>
      <c r="O2" s="18" t="s">
        <v>16</v>
      </c>
      <c r="R2" s="22" t="s">
        <v>10</v>
      </c>
      <c r="S2" s="23" t="s">
        <v>13</v>
      </c>
      <c r="T2" s="23" t="s">
        <v>11</v>
      </c>
      <c r="U2" s="23" t="s">
        <v>14</v>
      </c>
      <c r="V2" s="23" t="s">
        <v>15</v>
      </c>
      <c r="W2" s="23" t="s">
        <v>16</v>
      </c>
      <c r="Y2" s="22" t="s">
        <v>10</v>
      </c>
      <c r="Z2" s="23" t="s">
        <v>13</v>
      </c>
      <c r="AA2" s="23" t="s">
        <v>11</v>
      </c>
      <c r="AB2" s="23" t="s">
        <v>14</v>
      </c>
      <c r="AC2" s="23" t="s">
        <v>15</v>
      </c>
      <c r="AD2" s="23" t="s">
        <v>16</v>
      </c>
      <c r="AG2" s="25" t="s">
        <v>10</v>
      </c>
      <c r="AH2" s="27" t="s">
        <v>11</v>
      </c>
      <c r="AI2" s="27" t="s">
        <v>13</v>
      </c>
      <c r="AJ2" s="27" t="s">
        <v>14</v>
      </c>
      <c r="AK2" s="27" t="s">
        <v>15</v>
      </c>
      <c r="AL2" s="27" t="s">
        <v>16</v>
      </c>
      <c r="AM2" s="29"/>
    </row>
    <row r="3" ht="57.75" customHeight="1">
      <c r="A3" s="31"/>
      <c r="B3" s="32">
        <v>46145.0</v>
      </c>
      <c r="C3" s="34" t="s">
        <v>18</v>
      </c>
      <c r="D3" s="34" t="s">
        <v>20</v>
      </c>
      <c r="E3" s="36">
        <v>89000.0</v>
      </c>
      <c r="F3" s="34" t="s">
        <v>22</v>
      </c>
      <c r="G3" s="39">
        <v>46167.0</v>
      </c>
      <c r="H3" s="31"/>
      <c r="I3" s="31"/>
      <c r="J3" s="32">
        <v>46149.0</v>
      </c>
      <c r="K3" s="34" t="s">
        <v>25</v>
      </c>
      <c r="L3" s="34" t="s">
        <v>27</v>
      </c>
      <c r="M3" s="42">
        <v>90000.0</v>
      </c>
      <c r="N3" s="34" t="s">
        <v>29</v>
      </c>
      <c r="O3" s="44">
        <v>46154.0</v>
      </c>
      <c r="P3" s="31"/>
      <c r="Q3" s="31"/>
      <c r="R3" s="32">
        <v>46148.0</v>
      </c>
      <c r="S3" s="34" t="s">
        <v>30</v>
      </c>
      <c r="T3" s="34" t="s">
        <v>31</v>
      </c>
      <c r="U3" s="42">
        <v>550000.0</v>
      </c>
      <c r="V3" s="34" t="s">
        <v>29</v>
      </c>
      <c r="W3" s="32">
        <v>46173.0</v>
      </c>
      <c r="X3" s="31"/>
      <c r="Y3" s="47">
        <v>46158.0</v>
      </c>
      <c r="Z3" s="49" t="s">
        <v>36</v>
      </c>
      <c r="AA3" s="49" t="s">
        <v>37</v>
      </c>
      <c r="AB3" s="52">
        <v>140000.0</v>
      </c>
      <c r="AC3" s="49" t="s">
        <v>39</v>
      </c>
      <c r="AD3" s="47">
        <v>46167.0</v>
      </c>
      <c r="AE3" s="31"/>
      <c r="AF3" s="31"/>
      <c r="AG3" s="55">
        <v>46053.0</v>
      </c>
      <c r="AH3" s="57" t="s">
        <v>44</v>
      </c>
      <c r="AI3" s="58" t="s">
        <v>45</v>
      </c>
      <c r="AJ3" s="60">
        <v>111000.0</v>
      </c>
      <c r="AK3" s="49" t="s">
        <v>46</v>
      </c>
      <c r="AL3" s="63">
        <v>46172.0</v>
      </c>
      <c r="AM3" s="68" t="s">
        <v>48</v>
      </c>
      <c r="AN3" s="31"/>
      <c r="AO3" s="31"/>
      <c r="AP3" s="31"/>
      <c r="AQ3" s="31"/>
      <c r="AR3" s="31"/>
      <c r="AS3" s="31"/>
      <c r="AT3" s="31"/>
      <c r="AU3" s="31"/>
      <c r="AV3" s="31"/>
      <c r="AW3" s="31"/>
      <c r="AX3" s="31"/>
    </row>
    <row r="4" ht="18.75" customHeight="1">
      <c r="B4" s="32">
        <v>46146.0</v>
      </c>
      <c r="C4" s="34" t="s">
        <v>51</v>
      </c>
      <c r="D4" s="34" t="s">
        <v>52</v>
      </c>
      <c r="E4" s="36">
        <v>158000.0</v>
      </c>
      <c r="F4" s="34" t="s">
        <v>55</v>
      </c>
      <c r="G4" s="71"/>
      <c r="R4" s="32">
        <v>46146.0</v>
      </c>
      <c r="S4" s="34" t="s">
        <v>52</v>
      </c>
      <c r="T4" s="34" t="s">
        <v>61</v>
      </c>
      <c r="U4" s="42">
        <v>550000.0</v>
      </c>
      <c r="V4" s="34" t="s">
        <v>29</v>
      </c>
      <c r="W4" s="32">
        <v>46154.0</v>
      </c>
      <c r="Y4" s="47">
        <v>46179.0</v>
      </c>
      <c r="Z4" s="49" t="s">
        <v>63</v>
      </c>
      <c r="AA4" s="74" t="s">
        <v>66</v>
      </c>
      <c r="AB4" s="76">
        <v>64000.0</v>
      </c>
      <c r="AC4" s="74" t="s">
        <v>70</v>
      </c>
      <c r="AD4" s="79">
        <v>46183.0</v>
      </c>
      <c r="AG4" s="55">
        <v>46074.0</v>
      </c>
      <c r="AH4" s="57" t="s">
        <v>73</v>
      </c>
      <c r="AI4" s="58" t="s">
        <v>74</v>
      </c>
      <c r="AJ4" s="60">
        <v>111000.0</v>
      </c>
      <c r="AK4" s="49" t="s">
        <v>76</v>
      </c>
      <c r="AL4" s="71"/>
      <c r="AM4" s="68" t="s">
        <v>48</v>
      </c>
      <c r="AN4" s="31"/>
    </row>
    <row r="5" ht="38.25" customHeight="1">
      <c r="B5" s="32">
        <v>46147.0</v>
      </c>
      <c r="C5" s="34" t="s">
        <v>78</v>
      </c>
      <c r="D5" s="34" t="s">
        <v>79</v>
      </c>
      <c r="E5" s="36">
        <v>251000.0</v>
      </c>
      <c r="F5" s="34" t="s">
        <v>80</v>
      </c>
      <c r="G5" s="71"/>
      <c r="R5" s="32">
        <v>46180.0</v>
      </c>
      <c r="S5" s="85" t="s">
        <v>81</v>
      </c>
      <c r="T5" s="34" t="s">
        <v>82</v>
      </c>
      <c r="U5" s="41">
        <v>550000.0</v>
      </c>
      <c r="V5" s="34" t="s">
        <v>29</v>
      </c>
      <c r="W5" s="32">
        <v>46173.0</v>
      </c>
      <c r="Y5" s="88">
        <v>46180.0</v>
      </c>
      <c r="Z5" s="90" t="s">
        <v>86</v>
      </c>
      <c r="AA5" s="90" t="s">
        <v>88</v>
      </c>
      <c r="AB5" s="92">
        <v>152000.0</v>
      </c>
      <c r="AC5" s="90"/>
      <c r="AD5" s="90"/>
      <c r="AE5" s="95"/>
      <c r="AG5" s="55">
        <v>46067.0</v>
      </c>
      <c r="AH5" s="57" t="s">
        <v>96</v>
      </c>
      <c r="AI5" s="49" t="s">
        <v>98</v>
      </c>
      <c r="AJ5" s="60">
        <v>154000.0</v>
      </c>
      <c r="AK5" s="49" t="s">
        <v>99</v>
      </c>
      <c r="AL5" s="96"/>
      <c r="AM5" s="68" t="s">
        <v>48</v>
      </c>
      <c r="AN5" s="31"/>
    </row>
    <row r="6" ht="39.75" customHeight="1">
      <c r="B6" s="32">
        <v>46156.0</v>
      </c>
      <c r="C6" s="34" t="s">
        <v>102</v>
      </c>
      <c r="D6" s="34" t="s">
        <v>103</v>
      </c>
      <c r="E6" s="36">
        <v>70000.0</v>
      </c>
      <c r="F6" s="34" t="s">
        <v>105</v>
      </c>
      <c r="G6" s="71"/>
      <c r="R6" s="32">
        <v>46187.0</v>
      </c>
      <c r="S6" s="101" t="s">
        <v>106</v>
      </c>
      <c r="T6" s="34" t="s">
        <v>108</v>
      </c>
      <c r="U6" s="41">
        <v>550000.0</v>
      </c>
      <c r="V6" s="34" t="s">
        <v>29</v>
      </c>
      <c r="W6" s="104">
        <v>46193.0</v>
      </c>
      <c r="Y6" s="88">
        <v>46193.0</v>
      </c>
      <c r="Z6" s="106" t="s">
        <v>116</v>
      </c>
      <c r="AA6" s="106" t="s">
        <v>118</v>
      </c>
      <c r="AB6" s="92">
        <v>154000.0</v>
      </c>
      <c r="AC6" s="106" t="s">
        <v>120</v>
      </c>
      <c r="AD6" s="90"/>
      <c r="AE6" s="95"/>
      <c r="AG6" s="55">
        <v>46074.0</v>
      </c>
      <c r="AH6" s="57" t="s">
        <v>122</v>
      </c>
      <c r="AI6" s="49" t="s">
        <v>123</v>
      </c>
      <c r="AJ6" s="108">
        <v>151000.0</v>
      </c>
      <c r="AK6" s="49" t="s">
        <v>125</v>
      </c>
      <c r="AL6" s="55">
        <v>46183.0</v>
      </c>
      <c r="AM6" s="68" t="s">
        <v>126</v>
      </c>
      <c r="AN6" s="31"/>
    </row>
    <row r="7" ht="30.75" customHeight="1">
      <c r="B7" s="32">
        <v>46157.0</v>
      </c>
      <c r="C7" s="69" t="s">
        <v>129</v>
      </c>
      <c r="D7" s="34" t="s">
        <v>130</v>
      </c>
      <c r="E7" s="36">
        <v>83000.0</v>
      </c>
      <c r="F7" s="34" t="s">
        <v>131</v>
      </c>
      <c r="G7" s="71"/>
      <c r="R7" s="32">
        <v>46190.0</v>
      </c>
      <c r="S7" s="101" t="s">
        <v>133</v>
      </c>
      <c r="T7" s="34" t="s">
        <v>134</v>
      </c>
      <c r="U7" s="41">
        <v>550000.0</v>
      </c>
      <c r="V7" s="34" t="s">
        <v>29</v>
      </c>
      <c r="W7" s="96"/>
      <c r="Y7" s="47">
        <v>46194.0</v>
      </c>
      <c r="Z7" s="112"/>
      <c r="AA7" s="112"/>
      <c r="AB7" s="114">
        <v>177000.0</v>
      </c>
      <c r="AC7" s="49" t="s">
        <v>142</v>
      </c>
      <c r="AD7" s="115">
        <v>46215.0</v>
      </c>
      <c r="AG7" s="55">
        <v>46137.0</v>
      </c>
      <c r="AH7" s="57" t="s">
        <v>146</v>
      </c>
      <c r="AI7" s="57" t="s">
        <v>147</v>
      </c>
      <c r="AJ7" s="60">
        <v>111000.0</v>
      </c>
      <c r="AK7" s="49" t="s">
        <v>150</v>
      </c>
      <c r="AL7" s="55">
        <v>46172.0</v>
      </c>
      <c r="AM7" s="68" t="s">
        <v>48</v>
      </c>
      <c r="AN7" s="31"/>
    </row>
    <row r="8">
      <c r="B8" s="32">
        <v>46157.0</v>
      </c>
      <c r="C8" s="34" t="s">
        <v>156</v>
      </c>
      <c r="D8" s="34" t="s">
        <v>30</v>
      </c>
      <c r="E8" s="36">
        <v>161000.0</v>
      </c>
      <c r="F8" s="34" t="s">
        <v>160</v>
      </c>
      <c r="G8" s="96"/>
      <c r="H8" s="119">
        <v>812000.0</v>
      </c>
      <c r="J8" s="121" t="s">
        <v>170</v>
      </c>
      <c r="K8" s="4"/>
      <c r="L8" s="4"/>
      <c r="M8" s="4"/>
      <c r="N8" s="4"/>
      <c r="O8" s="6"/>
      <c r="R8" s="32">
        <v>46193.0</v>
      </c>
      <c r="S8" s="124" t="s">
        <v>179</v>
      </c>
      <c r="T8" s="77" t="s">
        <v>184</v>
      </c>
      <c r="U8" s="129">
        <v>550000.0</v>
      </c>
      <c r="V8" s="34" t="s">
        <v>29</v>
      </c>
      <c r="W8" s="44">
        <v>46203.0</v>
      </c>
      <c r="Y8" s="47">
        <v>46207.0</v>
      </c>
      <c r="Z8" s="112"/>
      <c r="AA8" s="49" t="s">
        <v>88</v>
      </c>
      <c r="AB8" s="114">
        <v>146000.0</v>
      </c>
      <c r="AC8" s="49" t="s">
        <v>191</v>
      </c>
      <c r="AD8" s="115">
        <v>46215.0</v>
      </c>
      <c r="AG8" s="55">
        <v>46143.0</v>
      </c>
      <c r="AH8" s="131" t="s">
        <v>193</v>
      </c>
      <c r="AI8" s="131" t="s">
        <v>198</v>
      </c>
      <c r="AJ8" s="133">
        <v>111000.0</v>
      </c>
      <c r="AK8" s="49" t="s">
        <v>203</v>
      </c>
      <c r="AL8" s="136">
        <v>46183.0</v>
      </c>
      <c r="AM8" s="29"/>
    </row>
    <row r="9">
      <c r="B9" s="32">
        <v>46156.0</v>
      </c>
      <c r="C9" s="34" t="s">
        <v>208</v>
      </c>
      <c r="D9" s="34" t="s">
        <v>210</v>
      </c>
      <c r="E9" s="139">
        <v>152000.0</v>
      </c>
      <c r="F9" s="34" t="s">
        <v>218</v>
      </c>
      <c r="G9" s="141">
        <v>46173.0</v>
      </c>
      <c r="H9" s="143"/>
      <c r="J9" s="16" t="s">
        <v>10</v>
      </c>
      <c r="K9" s="18" t="s">
        <v>11</v>
      </c>
      <c r="L9" s="18" t="s">
        <v>13</v>
      </c>
      <c r="M9" s="18" t="s">
        <v>14</v>
      </c>
      <c r="N9" s="18" t="s">
        <v>15</v>
      </c>
      <c r="O9" s="18" t="s">
        <v>16</v>
      </c>
      <c r="R9" s="32">
        <v>46197.0</v>
      </c>
      <c r="S9" s="124" t="s">
        <v>235</v>
      </c>
      <c r="T9" s="77" t="s">
        <v>238</v>
      </c>
      <c r="U9" s="129">
        <v>550000.0</v>
      </c>
      <c r="V9" s="34" t="s">
        <v>29</v>
      </c>
      <c r="W9" s="44">
        <v>46203.0</v>
      </c>
      <c r="Y9" s="47">
        <v>46228.0</v>
      </c>
      <c r="Z9" s="145"/>
      <c r="AA9" s="61" t="s">
        <v>246</v>
      </c>
      <c r="AB9" s="64">
        <f>170000+16000</f>
        <v>186000</v>
      </c>
      <c r="AC9" s="49" t="s">
        <v>268</v>
      </c>
      <c r="AD9" s="66">
        <v>46247.0</v>
      </c>
      <c r="AG9" s="29"/>
      <c r="AH9" s="29"/>
      <c r="AI9" s="29"/>
      <c r="AJ9" s="148"/>
      <c r="AK9" s="29"/>
      <c r="AL9" s="29"/>
      <c r="AM9" s="29"/>
    </row>
    <row r="10">
      <c r="B10" s="32">
        <v>46135.0</v>
      </c>
      <c r="C10" s="34" t="s">
        <v>279</v>
      </c>
      <c r="D10" s="34" t="s">
        <v>280</v>
      </c>
      <c r="E10" s="139">
        <v>125000.0</v>
      </c>
      <c r="F10" s="34" t="s">
        <v>285</v>
      </c>
      <c r="G10" s="71"/>
      <c r="H10" s="143"/>
      <c r="J10" s="34" t="s">
        <v>288</v>
      </c>
      <c r="K10" s="153" t="s">
        <v>294</v>
      </c>
      <c r="L10" s="153" t="s">
        <v>298</v>
      </c>
      <c r="M10" s="41">
        <v>320000.0</v>
      </c>
      <c r="N10" s="34" t="s">
        <v>300</v>
      </c>
      <c r="O10" s="32">
        <v>46215.0</v>
      </c>
      <c r="R10" s="32">
        <v>46213.0</v>
      </c>
      <c r="S10" s="77" t="s">
        <v>305</v>
      </c>
      <c r="T10" s="77" t="s">
        <v>307</v>
      </c>
      <c r="U10" s="129">
        <v>800000.0</v>
      </c>
      <c r="V10" s="34" t="s">
        <v>29</v>
      </c>
      <c r="W10" s="158">
        <v>46215.0</v>
      </c>
      <c r="AG10" s="29"/>
      <c r="AH10" s="29"/>
      <c r="AI10" s="29"/>
      <c r="AJ10" s="29"/>
      <c r="AK10" s="29"/>
      <c r="AL10" s="29"/>
      <c r="AM10" s="29"/>
    </row>
    <row r="11">
      <c r="B11" s="32">
        <v>46160.0</v>
      </c>
      <c r="C11" s="35" t="s">
        <v>321</v>
      </c>
      <c r="D11" s="35" t="s">
        <v>323</v>
      </c>
      <c r="E11" s="139">
        <v>89000.0</v>
      </c>
      <c r="F11" s="34" t="s">
        <v>324</v>
      </c>
      <c r="G11" s="71"/>
      <c r="H11" s="143"/>
      <c r="J11" s="34" t="s">
        <v>325</v>
      </c>
      <c r="K11" s="164" t="s">
        <v>329</v>
      </c>
      <c r="L11" s="54" t="s">
        <v>333</v>
      </c>
      <c r="M11" s="167">
        <v>700000.0</v>
      </c>
      <c r="N11" s="34" t="s">
        <v>338</v>
      </c>
      <c r="O11" s="1"/>
      <c r="R11" s="32">
        <v>46213.0</v>
      </c>
      <c r="S11" s="77" t="s">
        <v>341</v>
      </c>
      <c r="T11" s="77" t="s">
        <v>342</v>
      </c>
      <c r="U11" s="129">
        <v>550000.0</v>
      </c>
      <c r="V11" s="34" t="s">
        <v>29</v>
      </c>
      <c r="W11" s="77" t="s">
        <v>288</v>
      </c>
      <c r="AG11" s="29"/>
      <c r="AH11" s="29"/>
      <c r="AI11" s="29"/>
      <c r="AJ11" s="29"/>
      <c r="AK11" s="29"/>
      <c r="AL11" s="29"/>
      <c r="AM11" s="29"/>
    </row>
    <row r="12">
      <c r="B12" s="32">
        <v>46157.0</v>
      </c>
      <c r="C12" s="35" t="s">
        <v>354</v>
      </c>
      <c r="D12" s="35" t="s">
        <v>357</v>
      </c>
      <c r="E12" s="139">
        <v>51000.0</v>
      </c>
      <c r="F12" s="34" t="s">
        <v>365</v>
      </c>
      <c r="G12" s="71"/>
      <c r="H12" s="143"/>
      <c r="R12" s="32">
        <v>46208.0</v>
      </c>
      <c r="S12" s="124" t="s">
        <v>368</v>
      </c>
      <c r="T12" s="77" t="s">
        <v>370</v>
      </c>
      <c r="U12" s="41">
        <v>700000.0</v>
      </c>
      <c r="V12" s="34" t="s">
        <v>29</v>
      </c>
      <c r="W12" s="174">
        <v>46222.0</v>
      </c>
    </row>
    <row r="13">
      <c r="B13" s="33">
        <v>46164.0</v>
      </c>
      <c r="C13" s="35" t="s">
        <v>383</v>
      </c>
      <c r="D13" s="119" t="s">
        <v>387</v>
      </c>
      <c r="E13" s="37">
        <v>89000.0</v>
      </c>
      <c r="F13" s="35" t="s">
        <v>394</v>
      </c>
      <c r="G13" s="71"/>
      <c r="H13" s="180" t="s">
        <v>396</v>
      </c>
      <c r="R13" s="32">
        <v>46209.0</v>
      </c>
      <c r="S13" s="182" t="s">
        <v>406</v>
      </c>
      <c r="T13" s="85" t="s">
        <v>407</v>
      </c>
      <c r="U13" s="41">
        <v>780000.0</v>
      </c>
      <c r="V13" s="34" t="s">
        <v>29</v>
      </c>
      <c r="W13" s="186"/>
    </row>
    <row r="14">
      <c r="B14" s="32">
        <v>46163.0</v>
      </c>
      <c r="C14" s="35" t="s">
        <v>418</v>
      </c>
      <c r="D14" s="35" t="s">
        <v>420</v>
      </c>
      <c r="E14" s="139">
        <v>155000.0</v>
      </c>
      <c r="F14" s="34" t="s">
        <v>424</v>
      </c>
      <c r="G14" s="71"/>
      <c r="H14" s="143"/>
    </row>
    <row r="15">
      <c r="B15" s="32">
        <v>46164.0</v>
      </c>
      <c r="C15" s="165" t="s">
        <v>433</v>
      </c>
      <c r="D15" s="165" t="s">
        <v>434</v>
      </c>
      <c r="E15" s="199">
        <v>89000.0</v>
      </c>
      <c r="F15" s="165" t="s">
        <v>437</v>
      </c>
      <c r="G15" s="71"/>
      <c r="H15" s="143"/>
    </row>
    <row r="16">
      <c r="B16" s="32">
        <v>46168.0</v>
      </c>
      <c r="C16" s="165" t="s">
        <v>443</v>
      </c>
      <c r="D16" s="165" t="s">
        <v>444</v>
      </c>
      <c r="E16" s="199">
        <v>106000.0</v>
      </c>
      <c r="F16" s="165" t="s">
        <v>445</v>
      </c>
      <c r="G16" s="71"/>
      <c r="H16" s="216">
        <f>E9+E10+E11+E12+E14+E15+E16+E17+50000</f>
        <v>887000</v>
      </c>
    </row>
    <row r="17">
      <c r="A17" s="7"/>
      <c r="B17" s="32">
        <v>46171.0</v>
      </c>
      <c r="C17" s="165" t="s">
        <v>471</v>
      </c>
      <c r="D17" s="34" t="s">
        <v>472</v>
      </c>
      <c r="E17" s="199">
        <v>70000.0</v>
      </c>
      <c r="F17" s="165" t="s">
        <v>473</v>
      </c>
      <c r="G17" s="96"/>
      <c r="H17" s="220">
        <v>883000.0</v>
      </c>
      <c r="I17" s="221" t="s">
        <v>480</v>
      </c>
      <c r="J17" s="7"/>
      <c r="K17" s="7"/>
      <c r="L17" s="7"/>
      <c r="M17" s="7"/>
      <c r="N17" s="7"/>
      <c r="O17" s="7"/>
      <c r="P17" s="7"/>
      <c r="Q17" s="7"/>
      <c r="R17" s="7"/>
      <c r="S17" s="7"/>
      <c r="T17" s="7"/>
      <c r="U17" s="7"/>
      <c r="V17" s="7"/>
      <c r="W17" s="15" t="s">
        <v>485</v>
      </c>
      <c r="X17" s="4"/>
      <c r="Y17" s="4"/>
      <c r="Z17" s="4"/>
      <c r="AA17" s="4"/>
      <c r="AB17" s="6"/>
      <c r="AC17" s="7"/>
      <c r="AD17" s="7"/>
      <c r="AE17" s="7"/>
      <c r="AF17" s="7"/>
      <c r="AG17" s="7"/>
      <c r="AH17" s="7"/>
      <c r="AI17" s="7"/>
      <c r="AJ17" s="7"/>
      <c r="AK17" s="7"/>
      <c r="AL17" s="7"/>
      <c r="AM17" s="7"/>
      <c r="AN17" s="7"/>
      <c r="AO17" s="7"/>
      <c r="AP17" s="7"/>
      <c r="AQ17" s="7"/>
      <c r="AR17" s="7"/>
      <c r="AS17" s="7"/>
      <c r="AT17" s="7"/>
      <c r="AU17" s="7"/>
      <c r="AV17" s="7"/>
      <c r="AW17" s="7"/>
      <c r="AX17" s="7"/>
    </row>
    <row r="18">
      <c r="B18" s="32">
        <v>46189.0</v>
      </c>
      <c r="C18" s="110" t="s">
        <v>491</v>
      </c>
      <c r="D18" s="229" t="s">
        <v>495</v>
      </c>
      <c r="E18" s="231">
        <v>86000.0</v>
      </c>
      <c r="F18" s="165" t="s">
        <v>501</v>
      </c>
      <c r="G18" s="233">
        <v>46193.0</v>
      </c>
      <c r="H18" s="169"/>
      <c r="M18" s="235" t="s">
        <v>504</v>
      </c>
      <c r="N18" s="4"/>
      <c r="O18" s="4"/>
      <c r="P18" s="4"/>
      <c r="Q18" s="6"/>
      <c r="W18" s="22" t="s">
        <v>10</v>
      </c>
      <c r="X18" s="23" t="s">
        <v>13</v>
      </c>
      <c r="Y18" s="23" t="s">
        <v>11</v>
      </c>
      <c r="Z18" s="23" t="s">
        <v>14</v>
      </c>
      <c r="AA18" s="23" t="s">
        <v>15</v>
      </c>
      <c r="AB18" s="23" t="s">
        <v>16</v>
      </c>
    </row>
    <row r="19">
      <c r="B19" s="32">
        <v>46184.0</v>
      </c>
      <c r="C19" s="110" t="s">
        <v>514</v>
      </c>
      <c r="D19" s="85" t="s">
        <v>515</v>
      </c>
      <c r="E19" s="231">
        <v>89000.0</v>
      </c>
      <c r="F19" s="165" t="s">
        <v>516</v>
      </c>
      <c r="G19" s="71"/>
      <c r="H19" s="169"/>
      <c r="M19" s="242" t="s">
        <v>10</v>
      </c>
      <c r="N19" s="243" t="s">
        <v>13</v>
      </c>
      <c r="O19" s="243" t="s">
        <v>11</v>
      </c>
      <c r="P19" s="243" t="s">
        <v>14</v>
      </c>
      <c r="Q19" s="243" t="s">
        <v>15</v>
      </c>
      <c r="R19" s="243" t="s">
        <v>16</v>
      </c>
      <c r="W19" s="245">
        <v>46233.0</v>
      </c>
      <c r="X19" s="247" t="s">
        <v>529</v>
      </c>
      <c r="Y19" s="248" t="s">
        <v>535</v>
      </c>
      <c r="Z19" s="249">
        <v>500000.0</v>
      </c>
      <c r="AA19" s="219" t="s">
        <v>538</v>
      </c>
      <c r="AB19" s="207"/>
    </row>
    <row r="20">
      <c r="B20" s="33">
        <v>46188.0</v>
      </c>
      <c r="C20" s="165" t="s">
        <v>542</v>
      </c>
      <c r="D20" s="165" t="s">
        <v>543</v>
      </c>
      <c r="E20" s="212">
        <v>122000.0</v>
      </c>
      <c r="F20" s="165" t="s">
        <v>544</v>
      </c>
      <c r="G20" s="71"/>
      <c r="H20" s="169"/>
      <c r="M20" s="32">
        <v>46189.0</v>
      </c>
      <c r="N20" s="127"/>
      <c r="O20" s="34" t="s">
        <v>548</v>
      </c>
      <c r="P20" s="41">
        <v>1150000.0</v>
      </c>
      <c r="Q20" s="127"/>
      <c r="R20" s="252"/>
      <c r="W20" s="254">
        <v>46235.0</v>
      </c>
      <c r="X20" s="130" t="s">
        <v>555</v>
      </c>
      <c r="Y20" s="256" t="s">
        <v>556</v>
      </c>
      <c r="Z20" s="257">
        <v>210000.0</v>
      </c>
      <c r="AA20" s="34" t="s">
        <v>558</v>
      </c>
      <c r="AB20" s="207"/>
    </row>
    <row r="21">
      <c r="B21" s="32">
        <v>46177.0</v>
      </c>
      <c r="C21" s="110" t="s">
        <v>560</v>
      </c>
      <c r="D21" s="110" t="s">
        <v>561</v>
      </c>
      <c r="E21" s="212">
        <v>70000.0</v>
      </c>
      <c r="F21" s="165" t="s">
        <v>562</v>
      </c>
      <c r="G21" s="96"/>
      <c r="H21" s="169"/>
      <c r="M21" s="32">
        <v>46189.0</v>
      </c>
      <c r="N21" s="127"/>
      <c r="O21" s="34" t="s">
        <v>563</v>
      </c>
      <c r="P21" s="41">
        <v>380000.0</v>
      </c>
      <c r="Q21" s="127"/>
      <c r="R21" s="252"/>
      <c r="W21" s="254">
        <v>46238.0</v>
      </c>
      <c r="X21" s="130" t="s">
        <v>566</v>
      </c>
      <c r="Y21" s="256" t="s">
        <v>568</v>
      </c>
      <c r="Z21" s="257">
        <v>900000.0</v>
      </c>
      <c r="AA21" s="34" t="s">
        <v>569</v>
      </c>
      <c r="AB21" s="1"/>
    </row>
    <row r="22">
      <c r="A22" s="7"/>
      <c r="B22" s="250">
        <v>46195.0</v>
      </c>
      <c r="C22" s="165" t="s">
        <v>570</v>
      </c>
      <c r="D22" s="165" t="s">
        <v>571</v>
      </c>
      <c r="E22" s="212">
        <v>158000.0</v>
      </c>
      <c r="F22" s="165" t="s">
        <v>572</v>
      </c>
      <c r="G22" s="233">
        <v>46203.0</v>
      </c>
      <c r="H22" s="169"/>
      <c r="I22" s="7"/>
      <c r="J22" s="7"/>
      <c r="K22" s="7"/>
      <c r="L22" s="7"/>
      <c r="M22" s="32">
        <v>46213.0</v>
      </c>
      <c r="N22" s="93"/>
      <c r="O22" s="35" t="s">
        <v>575</v>
      </c>
      <c r="P22" s="37">
        <v>380000.0</v>
      </c>
      <c r="Q22" s="93"/>
      <c r="R22" s="252"/>
      <c r="S22" s="7"/>
      <c r="T22" s="7"/>
      <c r="U22" s="7"/>
      <c r="V22" s="7"/>
      <c r="W22" s="254">
        <v>46236.0</v>
      </c>
      <c r="X22" s="130" t="s">
        <v>580</v>
      </c>
      <c r="Y22" s="256" t="s">
        <v>581</v>
      </c>
      <c r="Z22" s="257">
        <v>550000.0</v>
      </c>
      <c r="AA22" s="34" t="s">
        <v>558</v>
      </c>
      <c r="AB22" s="70"/>
      <c r="AC22" s="7"/>
      <c r="AD22" s="7"/>
      <c r="AE22" s="7"/>
      <c r="AF22" s="7"/>
      <c r="AG22" s="7"/>
      <c r="AH22" s="7"/>
      <c r="AI22" s="7"/>
      <c r="AJ22" s="7"/>
      <c r="AK22" s="7"/>
      <c r="AL22" s="7"/>
      <c r="AM22" s="7"/>
      <c r="AN22" s="7"/>
      <c r="AO22" s="7"/>
      <c r="AP22" s="7"/>
      <c r="AQ22" s="7"/>
      <c r="AR22" s="7"/>
      <c r="AS22" s="7"/>
      <c r="AT22" s="7"/>
      <c r="AU22" s="7"/>
      <c r="AV22" s="7"/>
      <c r="AW22" s="7"/>
      <c r="AX22" s="7"/>
    </row>
    <row r="23">
      <c r="A23" s="7"/>
      <c r="B23" s="266">
        <v>46189.0</v>
      </c>
      <c r="C23" s="163" t="s">
        <v>491</v>
      </c>
      <c r="D23" s="163" t="s">
        <v>589</v>
      </c>
      <c r="E23" s="270"/>
      <c r="F23" s="163" t="s">
        <v>590</v>
      </c>
      <c r="G23" s="71"/>
      <c r="H23" s="169"/>
      <c r="I23" s="7"/>
      <c r="J23" s="7"/>
      <c r="K23" s="7"/>
      <c r="L23" s="7"/>
      <c r="M23" s="32">
        <v>46214.0</v>
      </c>
      <c r="N23" s="93"/>
      <c r="O23" s="35" t="s">
        <v>592</v>
      </c>
      <c r="P23" s="37">
        <v>350000.0</v>
      </c>
      <c r="Q23" s="93"/>
      <c r="R23" s="252"/>
      <c r="S23" s="7"/>
      <c r="T23" s="7"/>
      <c r="U23" s="7"/>
      <c r="V23" s="7"/>
      <c r="W23" s="70"/>
      <c r="X23" s="70"/>
      <c r="Y23" s="70"/>
      <c r="Z23" s="70"/>
      <c r="AA23" s="70"/>
      <c r="AB23" s="70"/>
      <c r="AC23" s="7"/>
      <c r="AD23" s="7"/>
      <c r="AE23" s="7"/>
      <c r="AF23" s="7"/>
      <c r="AG23" s="7"/>
      <c r="AH23" s="7"/>
      <c r="AI23" s="7"/>
      <c r="AJ23" s="7"/>
      <c r="AK23" s="7"/>
      <c r="AL23" s="7"/>
      <c r="AM23" s="7"/>
      <c r="AN23" s="7"/>
      <c r="AO23" s="7"/>
      <c r="AP23" s="7"/>
      <c r="AQ23" s="7"/>
      <c r="AR23" s="7"/>
      <c r="AS23" s="7"/>
      <c r="AT23" s="7"/>
      <c r="AU23" s="7"/>
      <c r="AV23" s="7"/>
      <c r="AW23" s="7"/>
      <c r="AX23" s="7"/>
    </row>
    <row r="24">
      <c r="A24" s="7"/>
      <c r="B24" s="259">
        <v>46190.0</v>
      </c>
      <c r="C24" s="72" t="s">
        <v>607</v>
      </c>
      <c r="D24" s="72" t="s">
        <v>133</v>
      </c>
      <c r="E24" s="150">
        <v>197000.0</v>
      </c>
      <c r="F24" s="72" t="s">
        <v>614</v>
      </c>
      <c r="G24" s="71"/>
      <c r="H24" s="169"/>
      <c r="I24" s="7"/>
      <c r="J24" s="7"/>
      <c r="K24" s="7"/>
      <c r="L24" s="7"/>
      <c r="M24" s="33">
        <v>46230.0</v>
      </c>
      <c r="N24" s="93"/>
      <c r="O24" s="35" t="s">
        <v>617</v>
      </c>
      <c r="P24" s="37">
        <v>380000.0</v>
      </c>
      <c r="Q24" s="93"/>
      <c r="R24" s="105">
        <v>46246.0</v>
      </c>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row>
    <row r="25">
      <c r="A25" s="147"/>
      <c r="B25" s="259">
        <v>46190.0</v>
      </c>
      <c r="C25" s="35" t="s">
        <v>626</v>
      </c>
      <c r="D25" s="72" t="s">
        <v>627</v>
      </c>
      <c r="E25" s="37">
        <v>161000.0</v>
      </c>
      <c r="F25" s="35" t="s">
        <v>629</v>
      </c>
      <c r="G25" s="71"/>
      <c r="H25" s="169"/>
      <c r="I25" s="147"/>
      <c r="J25" s="147"/>
      <c r="K25" s="147"/>
      <c r="L25" s="147"/>
      <c r="M25" s="33">
        <v>46233.0</v>
      </c>
      <c r="N25" s="93"/>
      <c r="O25" s="35" t="s">
        <v>633</v>
      </c>
      <c r="P25" s="37">
        <v>700000.0</v>
      </c>
      <c r="Q25" s="93"/>
      <c r="R25" s="105">
        <v>46246.0</v>
      </c>
      <c r="S25" s="147"/>
      <c r="T25" s="147"/>
      <c r="U25" s="147"/>
      <c r="V25" s="147"/>
      <c r="W25" s="147"/>
      <c r="X25" s="147"/>
      <c r="Y25" s="147"/>
      <c r="Z25" s="147"/>
      <c r="AA25" s="147"/>
      <c r="AB25" s="147"/>
      <c r="AC25" s="147"/>
      <c r="AD25" s="147"/>
      <c r="AE25" s="147"/>
      <c r="AF25" s="147"/>
      <c r="AG25" s="147"/>
      <c r="AH25" s="147"/>
      <c r="AI25" s="147"/>
      <c r="AJ25" s="147"/>
      <c r="AK25" s="147"/>
      <c r="AL25" s="147"/>
      <c r="AM25" s="147"/>
      <c r="AN25" s="147"/>
      <c r="AO25" s="147"/>
      <c r="AP25" s="147"/>
      <c r="AQ25" s="147"/>
      <c r="AR25" s="147"/>
      <c r="AS25" s="147"/>
      <c r="AT25" s="147"/>
      <c r="AU25" s="147"/>
      <c r="AV25" s="147"/>
      <c r="AW25" s="147"/>
      <c r="AX25" s="147"/>
    </row>
    <row r="26">
      <c r="B26" s="295">
        <v>46188.0</v>
      </c>
      <c r="C26" s="65" t="s">
        <v>642</v>
      </c>
      <c r="D26" s="163" t="s">
        <v>643</v>
      </c>
      <c r="E26" s="270"/>
      <c r="F26" s="163" t="s">
        <v>544</v>
      </c>
      <c r="G26" s="71"/>
      <c r="H26" s="169"/>
      <c r="M26" s="297"/>
      <c r="N26" s="7"/>
      <c r="O26" s="7"/>
      <c r="P26" s="7"/>
      <c r="Q26" s="7"/>
      <c r="R26" s="7"/>
    </row>
    <row r="27">
      <c r="B27" s="259">
        <v>46188.0</v>
      </c>
      <c r="C27" s="110" t="s">
        <v>652</v>
      </c>
      <c r="D27" s="110" t="s">
        <v>654</v>
      </c>
      <c r="E27" s="212">
        <v>70000.0</v>
      </c>
      <c r="F27" s="165" t="s">
        <v>655</v>
      </c>
      <c r="G27" s="71"/>
      <c r="H27" s="169"/>
    </row>
    <row r="28">
      <c r="B28" s="259">
        <v>46183.0</v>
      </c>
      <c r="C28" s="110" t="s">
        <v>660</v>
      </c>
      <c r="D28" s="110" t="s">
        <v>662</v>
      </c>
      <c r="E28" s="212">
        <v>89000.0</v>
      </c>
      <c r="F28" s="165" t="s">
        <v>664</v>
      </c>
      <c r="G28" s="71"/>
      <c r="H28" s="169"/>
    </row>
    <row r="29">
      <c r="B29" s="259">
        <v>46199.0</v>
      </c>
      <c r="C29" s="165" t="s">
        <v>666</v>
      </c>
      <c r="D29" s="110" t="s">
        <v>668</v>
      </c>
      <c r="E29" s="212">
        <v>191000.0</v>
      </c>
      <c r="F29" s="265" t="s">
        <v>672</v>
      </c>
      <c r="G29" s="71"/>
    </row>
    <row r="30">
      <c r="B30" s="259">
        <v>46203.0</v>
      </c>
      <c r="C30" s="165" t="s">
        <v>675</v>
      </c>
      <c r="D30" s="165" t="s">
        <v>677</v>
      </c>
      <c r="E30" s="212">
        <v>89000.0</v>
      </c>
      <c r="F30" s="265" t="s">
        <v>678</v>
      </c>
      <c r="G30" s="96"/>
    </row>
    <row r="31">
      <c r="B31" s="259">
        <v>46205.0</v>
      </c>
      <c r="C31" s="110" t="s">
        <v>681</v>
      </c>
      <c r="D31" s="110" t="s">
        <v>682</v>
      </c>
      <c r="E31" s="212">
        <v>158000.0</v>
      </c>
      <c r="F31" s="265" t="s">
        <v>684</v>
      </c>
      <c r="G31" s="307">
        <v>46214.0</v>
      </c>
      <c r="I31" s="309"/>
    </row>
    <row r="32">
      <c r="B32" s="259">
        <v>46206.0</v>
      </c>
      <c r="C32" s="165" t="s">
        <v>692</v>
      </c>
      <c r="D32" s="200" t="s">
        <v>682</v>
      </c>
      <c r="E32" s="212">
        <v>152000.0</v>
      </c>
      <c r="F32" s="265" t="s">
        <v>694</v>
      </c>
      <c r="G32" s="71"/>
    </row>
    <row r="33">
      <c r="B33" s="259">
        <v>46206.0</v>
      </c>
      <c r="C33" s="165" t="s">
        <v>702</v>
      </c>
      <c r="D33" s="165" t="s">
        <v>705</v>
      </c>
      <c r="E33" s="212">
        <v>89000.0</v>
      </c>
      <c r="F33" s="165" t="s">
        <v>708</v>
      </c>
      <c r="G33" s="71"/>
    </row>
    <row r="34">
      <c r="B34" s="259">
        <v>46208.0</v>
      </c>
      <c r="C34" s="110" t="s">
        <v>715</v>
      </c>
      <c r="D34" s="110" t="s">
        <v>718</v>
      </c>
      <c r="E34" s="244">
        <v>356000.0</v>
      </c>
      <c r="F34" s="110" t="s">
        <v>723</v>
      </c>
      <c r="G34" s="71"/>
      <c r="H34" s="169"/>
    </row>
    <row r="35">
      <c r="B35" s="259">
        <v>46212.0</v>
      </c>
      <c r="C35" s="110" t="s">
        <v>727</v>
      </c>
      <c r="D35" s="110" t="s">
        <v>728</v>
      </c>
      <c r="E35" s="244">
        <v>603000.0</v>
      </c>
      <c r="F35" s="110" t="s">
        <v>730</v>
      </c>
      <c r="G35" s="71"/>
      <c r="H35" s="169"/>
    </row>
    <row r="36">
      <c r="B36" s="259">
        <v>46209.0</v>
      </c>
      <c r="C36" s="110" t="s">
        <v>732</v>
      </c>
      <c r="D36" s="110" t="s">
        <v>734</v>
      </c>
      <c r="E36" s="244">
        <v>89000.0</v>
      </c>
      <c r="F36" s="110" t="s">
        <v>737</v>
      </c>
      <c r="G36" s="71"/>
      <c r="H36" s="169"/>
    </row>
    <row r="37">
      <c r="B37" s="259">
        <v>46209.0</v>
      </c>
      <c r="C37" s="110" t="s">
        <v>740</v>
      </c>
      <c r="D37" s="110" t="s">
        <v>742</v>
      </c>
      <c r="E37" s="244">
        <v>89000.0</v>
      </c>
      <c r="F37" s="110" t="s">
        <v>737</v>
      </c>
      <c r="G37" s="96"/>
      <c r="H37" s="169"/>
    </row>
    <row r="38">
      <c r="B38" s="289">
        <v>46215.0</v>
      </c>
      <c r="C38" s="317" t="s">
        <v>746</v>
      </c>
      <c r="D38" s="318" t="s">
        <v>747</v>
      </c>
      <c r="E38" s="319">
        <v>103000.0</v>
      </c>
      <c r="F38" s="110" t="s">
        <v>748</v>
      </c>
      <c r="G38" s="233">
        <v>46222.0</v>
      </c>
      <c r="H38" s="197"/>
    </row>
    <row r="39">
      <c r="B39" s="289">
        <v>46218.0</v>
      </c>
      <c r="C39" s="322" t="s">
        <v>750</v>
      </c>
      <c r="D39" s="318" t="s">
        <v>753</v>
      </c>
      <c r="E39" s="319">
        <v>250000.0</v>
      </c>
      <c r="F39" s="34" t="s">
        <v>754</v>
      </c>
      <c r="G39" s="96"/>
      <c r="H39" s="197"/>
    </row>
    <row r="40">
      <c r="B40" s="323">
        <v>46217.0</v>
      </c>
      <c r="C40" s="325" t="s">
        <v>757</v>
      </c>
      <c r="D40" s="163" t="s">
        <v>758</v>
      </c>
      <c r="E40" s="270">
        <v>89000.0</v>
      </c>
      <c r="F40" s="163" t="s">
        <v>759</v>
      </c>
      <c r="G40" s="326"/>
      <c r="H40" s="197"/>
    </row>
    <row r="41">
      <c r="A41" s="7"/>
      <c r="B41" s="323">
        <v>46222.0</v>
      </c>
      <c r="C41" s="163" t="s">
        <v>764</v>
      </c>
      <c r="D41" s="163" t="s">
        <v>766</v>
      </c>
      <c r="E41" s="270">
        <v>260000.0</v>
      </c>
      <c r="F41" s="163" t="s">
        <v>774</v>
      </c>
      <c r="G41" s="71"/>
      <c r="H41" s="19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row>
    <row r="42">
      <c r="A42" s="7"/>
      <c r="B42" s="323">
        <v>46223.0</v>
      </c>
      <c r="C42" s="163" t="s">
        <v>793</v>
      </c>
      <c r="D42" s="163" t="s">
        <v>795</v>
      </c>
      <c r="E42" s="270">
        <v>122000.0</v>
      </c>
      <c r="F42" s="163" t="s">
        <v>799</v>
      </c>
      <c r="G42" s="71"/>
      <c r="H42" s="19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row>
    <row r="43">
      <c r="A43" s="7"/>
      <c r="B43" s="323">
        <v>46224.0</v>
      </c>
      <c r="C43" s="163" t="s">
        <v>815</v>
      </c>
      <c r="D43" s="163" t="s">
        <v>817</v>
      </c>
      <c r="E43" s="270">
        <v>89000.0</v>
      </c>
      <c r="F43" s="163" t="s">
        <v>820</v>
      </c>
      <c r="G43" s="71"/>
      <c r="H43" s="19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row>
    <row r="44">
      <c r="A44" s="7"/>
      <c r="B44" s="323">
        <v>46227.0</v>
      </c>
      <c r="C44" s="163" t="s">
        <v>833</v>
      </c>
      <c r="D44" s="163" t="s">
        <v>834</v>
      </c>
      <c r="E44" s="270">
        <v>158000.0</v>
      </c>
      <c r="F44" s="163" t="s">
        <v>835</v>
      </c>
      <c r="G44" s="71"/>
      <c r="H44" s="19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row>
    <row r="45">
      <c r="B45" s="323">
        <v>46229.0</v>
      </c>
      <c r="C45" s="163" t="s">
        <v>845</v>
      </c>
      <c r="D45" s="163" t="s">
        <v>846</v>
      </c>
      <c r="E45" s="270">
        <v>83000.0</v>
      </c>
      <c r="F45" s="163" t="s">
        <v>848</v>
      </c>
      <c r="G45" s="71"/>
      <c r="H45" s="197"/>
    </row>
    <row r="46">
      <c r="B46" s="323">
        <v>46231.0</v>
      </c>
      <c r="C46" s="163" t="s">
        <v>850</v>
      </c>
      <c r="D46" s="163" t="s">
        <v>65</v>
      </c>
      <c r="E46" s="270">
        <v>161000.0</v>
      </c>
      <c r="F46" s="333" t="s">
        <v>851</v>
      </c>
      <c r="G46" s="71"/>
      <c r="H46" s="197"/>
    </row>
    <row r="47">
      <c r="B47" s="323">
        <v>46232.0</v>
      </c>
      <c r="C47" s="163" t="s">
        <v>852</v>
      </c>
      <c r="D47" s="163" t="s">
        <v>853</v>
      </c>
      <c r="E47" s="270">
        <v>125000.0</v>
      </c>
      <c r="F47" s="163" t="s">
        <v>855</v>
      </c>
      <c r="G47" s="71"/>
      <c r="H47" s="197"/>
    </row>
    <row r="48">
      <c r="B48" s="323">
        <v>46232.0</v>
      </c>
      <c r="C48" s="163" t="s">
        <v>856</v>
      </c>
      <c r="D48" s="163" t="s">
        <v>857</v>
      </c>
      <c r="E48" s="270">
        <v>86000.0</v>
      </c>
      <c r="F48" s="163" t="s">
        <v>859</v>
      </c>
      <c r="G48" s="71"/>
      <c r="H48" s="197"/>
    </row>
    <row r="49">
      <c r="B49" s="323">
        <v>46232.0</v>
      </c>
      <c r="C49" s="163" t="s">
        <v>863</v>
      </c>
      <c r="D49" s="163" t="s">
        <v>864</v>
      </c>
      <c r="E49" s="270">
        <v>346000.0</v>
      </c>
      <c r="F49" s="163" t="s">
        <v>865</v>
      </c>
      <c r="G49" s="96"/>
      <c r="H49" s="197"/>
    </row>
    <row r="50">
      <c r="A50" s="7"/>
      <c r="B50" s="7"/>
      <c r="C50" s="7"/>
      <c r="D50" s="7"/>
      <c r="E50" s="7"/>
      <c r="F50" s="7"/>
      <c r="G50" s="188"/>
      <c r="H50" s="19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row>
    <row r="51">
      <c r="G51" s="335" t="s">
        <v>878</v>
      </c>
      <c r="H51" s="336">
        <v>34000.0</v>
      </c>
    </row>
    <row r="54">
      <c r="B54" s="302" t="s">
        <v>671</v>
      </c>
      <c r="C54" s="4"/>
      <c r="D54" s="4"/>
      <c r="E54" s="4"/>
      <c r="F54" s="4"/>
      <c r="G54" s="4"/>
      <c r="H54" s="4"/>
      <c r="I54" s="4"/>
      <c r="J54" s="4"/>
      <c r="K54" s="4"/>
      <c r="L54" s="4"/>
      <c r="M54" s="4"/>
      <c r="N54" s="4"/>
      <c r="O54" s="4"/>
      <c r="P54" s="4"/>
      <c r="Q54" s="4"/>
      <c r="R54" s="4"/>
      <c r="S54" s="4"/>
      <c r="T54" s="6"/>
      <c r="U54" s="305"/>
    </row>
    <row r="55">
      <c r="A55" s="306" t="s">
        <v>10</v>
      </c>
      <c r="B55" s="308" t="s">
        <v>13</v>
      </c>
      <c r="C55" s="311" t="s">
        <v>11</v>
      </c>
      <c r="D55" s="312" t="s">
        <v>693</v>
      </c>
      <c r="E55" s="313" t="s">
        <v>15</v>
      </c>
      <c r="F55" s="308" t="s">
        <v>698</v>
      </c>
      <c r="G55" s="308" t="s">
        <v>911</v>
      </c>
      <c r="H55" s="308" t="s">
        <v>700</v>
      </c>
      <c r="I55" s="308" t="s">
        <v>701</v>
      </c>
      <c r="J55" s="308" t="s">
        <v>704</v>
      </c>
      <c r="K55" s="308" t="s">
        <v>706</v>
      </c>
      <c r="L55" s="308" t="s">
        <v>707</v>
      </c>
      <c r="M55" s="308" t="s">
        <v>709</v>
      </c>
      <c r="N55" s="308" t="s">
        <v>710</v>
      </c>
      <c r="O55" s="308" t="s">
        <v>711</v>
      </c>
      <c r="P55" s="308" t="s">
        <v>712</v>
      </c>
      <c r="Q55" s="308" t="s">
        <v>714</v>
      </c>
      <c r="R55" s="308" t="s">
        <v>717</v>
      </c>
      <c r="S55" s="308" t="s">
        <v>719</v>
      </c>
      <c r="T55" s="308" t="s">
        <v>721</v>
      </c>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row>
    <row r="56">
      <c r="A56" s="250">
        <v>46149.0</v>
      </c>
      <c r="B56" s="290" t="s">
        <v>926</v>
      </c>
      <c r="C56" s="290" t="s">
        <v>927</v>
      </c>
      <c r="D56" s="212">
        <v>75000.0</v>
      </c>
      <c r="E56" s="344" t="s">
        <v>928</v>
      </c>
      <c r="F56" s="4"/>
      <c r="G56" s="4"/>
      <c r="H56" s="6"/>
      <c r="I56" s="165"/>
      <c r="J56" s="345">
        <v>75000.0</v>
      </c>
      <c r="K56" s="344" t="s">
        <v>928</v>
      </c>
      <c r="L56" s="4"/>
      <c r="M56" s="4"/>
      <c r="N56" s="4"/>
      <c r="O56" s="4"/>
      <c r="P56" s="4"/>
      <c r="Q56" s="6"/>
      <c r="R56" s="165"/>
      <c r="S56" s="140"/>
      <c r="T56" s="105">
        <v>46167.0</v>
      </c>
      <c r="U56" s="15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row>
    <row r="57">
      <c r="A57" s="350">
        <v>46150.0</v>
      </c>
      <c r="B57" s="351" t="s">
        <v>939</v>
      </c>
      <c r="C57" s="351" t="s">
        <v>940</v>
      </c>
      <c r="D57" s="352">
        <v>202000.0</v>
      </c>
      <c r="E57" s="353" t="s">
        <v>29</v>
      </c>
      <c r="F57" s="345">
        <v>96000.0</v>
      </c>
      <c r="G57" s="353" t="s">
        <v>880</v>
      </c>
      <c r="H57" s="353" t="s">
        <v>880</v>
      </c>
      <c r="I57" s="353" t="s">
        <v>880</v>
      </c>
      <c r="J57" s="355">
        <f t="shared" ref="J57:J67" si="1">D57</f>
        <v>202000</v>
      </c>
      <c r="K57" s="357" t="s">
        <v>957</v>
      </c>
      <c r="L57" s="357" t="s">
        <v>984</v>
      </c>
      <c r="M57" s="353" t="s">
        <v>773</v>
      </c>
      <c r="N57" s="353" t="s">
        <v>773</v>
      </c>
      <c r="O57" s="353" t="s">
        <v>776</v>
      </c>
      <c r="P57" s="353" t="s">
        <v>773</v>
      </c>
      <c r="Q57" s="353" t="s">
        <v>773</v>
      </c>
      <c r="R57" s="353">
        <v>10.0</v>
      </c>
      <c r="S57" s="361"/>
      <c r="T57" s="362">
        <v>46154.0</v>
      </c>
      <c r="U57" s="363"/>
      <c r="V57" s="364"/>
      <c r="W57" s="364"/>
      <c r="X57" s="364"/>
      <c r="Y57" s="364"/>
      <c r="Z57" s="364"/>
      <c r="AA57" s="364"/>
      <c r="AB57" s="364"/>
      <c r="AC57" s="364"/>
      <c r="AD57" s="364"/>
      <c r="AE57" s="364"/>
      <c r="AF57" s="364"/>
      <c r="AG57" s="364"/>
      <c r="AH57" s="364"/>
      <c r="AI57" s="364"/>
      <c r="AJ57" s="364"/>
      <c r="AK57" s="364"/>
      <c r="AL57" s="364"/>
      <c r="AM57" s="364"/>
      <c r="AN57" s="364"/>
      <c r="AO57" s="364"/>
      <c r="AP57" s="364"/>
      <c r="AQ57" s="364"/>
      <c r="AR57" s="364"/>
      <c r="AS57" s="364"/>
      <c r="AT57" s="364"/>
      <c r="AU57" s="364"/>
      <c r="AV57" s="364"/>
      <c r="AW57" s="364"/>
      <c r="AX57" s="364"/>
    </row>
    <row r="58">
      <c r="A58" s="266">
        <v>46156.0</v>
      </c>
      <c r="B58" s="365" t="s">
        <v>1001</v>
      </c>
      <c r="C58" s="365" t="s">
        <v>1003</v>
      </c>
      <c r="D58" s="270">
        <v>176000.0</v>
      </c>
      <c r="E58" s="163" t="s">
        <v>29</v>
      </c>
      <c r="F58" s="163" t="s">
        <v>880</v>
      </c>
      <c r="G58" s="163" t="s">
        <v>880</v>
      </c>
      <c r="H58" s="163" t="s">
        <v>880</v>
      </c>
      <c r="I58" s="163" t="s">
        <v>880</v>
      </c>
      <c r="J58" s="355">
        <f t="shared" si="1"/>
        <v>176000</v>
      </c>
      <c r="K58" s="163" t="s">
        <v>880</v>
      </c>
      <c r="L58" s="366" t="s">
        <v>1008</v>
      </c>
      <c r="M58" s="163" t="s">
        <v>880</v>
      </c>
      <c r="N58" s="163" t="s">
        <v>880</v>
      </c>
      <c r="O58" s="163" t="s">
        <v>776</v>
      </c>
      <c r="P58" s="163" t="s">
        <v>773</v>
      </c>
      <c r="Q58" s="163" t="s">
        <v>773</v>
      </c>
      <c r="R58" s="163" t="s">
        <v>1015</v>
      </c>
      <c r="S58" s="370"/>
      <c r="T58" s="371">
        <v>46167.0</v>
      </c>
      <c r="U58" s="372"/>
      <c r="V58" s="374"/>
      <c r="W58" s="374"/>
      <c r="X58" s="374"/>
      <c r="Y58" s="374"/>
      <c r="Z58" s="374"/>
      <c r="AA58" s="374"/>
      <c r="AB58" s="374"/>
      <c r="AC58" s="374"/>
      <c r="AD58" s="374"/>
      <c r="AE58" s="374"/>
      <c r="AF58" s="374"/>
      <c r="AG58" s="374"/>
      <c r="AH58" s="374"/>
      <c r="AI58" s="374"/>
      <c r="AJ58" s="374"/>
      <c r="AK58" s="374"/>
      <c r="AL58" s="374"/>
      <c r="AM58" s="374"/>
      <c r="AN58" s="374"/>
      <c r="AO58" s="374"/>
      <c r="AP58" s="374"/>
      <c r="AQ58" s="374"/>
      <c r="AR58" s="374"/>
      <c r="AS58" s="374"/>
      <c r="AT58" s="374"/>
      <c r="AU58" s="374"/>
      <c r="AV58" s="374"/>
      <c r="AW58" s="374"/>
      <c r="AX58" s="374"/>
    </row>
    <row r="59">
      <c r="A59" s="266">
        <v>46157.0</v>
      </c>
      <c r="B59" s="365" t="s">
        <v>130</v>
      </c>
      <c r="C59" s="365" t="s">
        <v>1023</v>
      </c>
      <c r="D59" s="270">
        <v>165000.0</v>
      </c>
      <c r="E59" s="163" t="s">
        <v>29</v>
      </c>
      <c r="F59" s="345">
        <v>210000.0</v>
      </c>
      <c r="G59" s="163" t="s">
        <v>880</v>
      </c>
      <c r="H59" s="163" t="s">
        <v>880</v>
      </c>
      <c r="I59" s="163" t="s">
        <v>880</v>
      </c>
      <c r="J59" s="355">
        <f t="shared" si="1"/>
        <v>165000</v>
      </c>
      <c r="K59" s="380" t="s">
        <v>1024</v>
      </c>
      <c r="L59" s="380" t="s">
        <v>1028</v>
      </c>
      <c r="M59" s="163" t="s">
        <v>773</v>
      </c>
      <c r="N59" s="163" t="s">
        <v>773</v>
      </c>
      <c r="O59" s="163" t="s">
        <v>1033</v>
      </c>
      <c r="P59" s="163" t="s">
        <v>773</v>
      </c>
      <c r="Q59" s="163" t="s">
        <v>773</v>
      </c>
      <c r="R59" s="163" t="s">
        <v>1015</v>
      </c>
      <c r="S59" s="370"/>
      <c r="T59" s="71"/>
      <c r="U59" s="374"/>
      <c r="V59" s="374"/>
      <c r="W59" s="374"/>
      <c r="X59" s="374"/>
      <c r="Y59" s="374"/>
      <c r="Z59" s="374"/>
      <c r="AA59" s="374"/>
      <c r="AB59" s="374"/>
      <c r="AC59" s="374"/>
      <c r="AD59" s="374"/>
      <c r="AE59" s="374"/>
      <c r="AF59" s="374"/>
      <c r="AG59" s="374"/>
      <c r="AH59" s="374"/>
      <c r="AI59" s="374"/>
      <c r="AJ59" s="374"/>
      <c r="AK59" s="374"/>
      <c r="AL59" s="374"/>
      <c r="AM59" s="374"/>
      <c r="AN59" s="374"/>
      <c r="AO59" s="374"/>
      <c r="AP59" s="374"/>
      <c r="AQ59" s="374"/>
      <c r="AR59" s="374"/>
      <c r="AS59" s="374"/>
      <c r="AT59" s="374"/>
      <c r="AU59" s="374"/>
      <c r="AV59" s="374"/>
      <c r="AW59" s="374"/>
      <c r="AX59" s="374"/>
    </row>
    <row r="60">
      <c r="A60" s="266">
        <v>46168.0</v>
      </c>
      <c r="B60" s="382" t="s">
        <v>444</v>
      </c>
      <c r="C60" s="382" t="s">
        <v>1035</v>
      </c>
      <c r="D60" s="270">
        <v>175000.0</v>
      </c>
      <c r="E60" s="366" t="s">
        <v>1036</v>
      </c>
      <c r="F60" s="163" t="s">
        <v>880</v>
      </c>
      <c r="G60" s="163" t="s">
        <v>880</v>
      </c>
      <c r="H60" s="163" t="s">
        <v>880</v>
      </c>
      <c r="I60" s="163" t="s">
        <v>880</v>
      </c>
      <c r="J60" s="355">
        <f t="shared" si="1"/>
        <v>175000</v>
      </c>
      <c r="K60" s="163" t="s">
        <v>880</v>
      </c>
      <c r="L60" s="380" t="s">
        <v>1038</v>
      </c>
      <c r="M60" s="163" t="s">
        <v>880</v>
      </c>
      <c r="N60" s="163" t="s">
        <v>773</v>
      </c>
      <c r="O60" s="163" t="s">
        <v>1043</v>
      </c>
      <c r="P60" s="163" t="s">
        <v>773</v>
      </c>
      <c r="Q60" s="163" t="s">
        <v>773</v>
      </c>
      <c r="R60" s="163" t="s">
        <v>1015</v>
      </c>
      <c r="S60" s="383"/>
      <c r="T60" s="96"/>
      <c r="U60" s="374"/>
      <c r="V60" s="374"/>
      <c r="W60" s="374"/>
      <c r="X60" s="374"/>
      <c r="Y60" s="374"/>
      <c r="Z60" s="374"/>
      <c r="AA60" s="374"/>
      <c r="AB60" s="374"/>
      <c r="AC60" s="374"/>
      <c r="AD60" s="374"/>
      <c r="AE60" s="374"/>
      <c r="AF60" s="374"/>
      <c r="AG60" s="374"/>
      <c r="AH60" s="374"/>
      <c r="AI60" s="374"/>
      <c r="AJ60" s="374"/>
      <c r="AK60" s="374"/>
      <c r="AL60" s="374"/>
      <c r="AM60" s="374"/>
      <c r="AN60" s="374"/>
      <c r="AO60" s="374"/>
      <c r="AP60" s="374"/>
      <c r="AQ60" s="374"/>
      <c r="AR60" s="374"/>
      <c r="AS60" s="374"/>
      <c r="AT60" s="374"/>
      <c r="AU60" s="374"/>
      <c r="AV60" s="374"/>
      <c r="AW60" s="374"/>
      <c r="AX60" s="374"/>
    </row>
    <row r="61">
      <c r="A61" s="109">
        <v>46164.0</v>
      </c>
      <c r="B61" s="385" t="s">
        <v>917</v>
      </c>
      <c r="C61" s="385" t="s">
        <v>1045</v>
      </c>
      <c r="D61" s="244">
        <v>165000.0</v>
      </c>
      <c r="E61" s="387" t="s">
        <v>1047</v>
      </c>
      <c r="F61" s="345">
        <v>210000.0</v>
      </c>
      <c r="G61" s="110" t="s">
        <v>880</v>
      </c>
      <c r="H61" s="110" t="s">
        <v>880</v>
      </c>
      <c r="I61" s="110" t="s">
        <v>880</v>
      </c>
      <c r="J61" s="355">
        <f t="shared" si="1"/>
        <v>165000</v>
      </c>
      <c r="K61" s="387" t="s">
        <v>1052</v>
      </c>
      <c r="L61" s="387" t="s">
        <v>1056</v>
      </c>
      <c r="M61" s="110" t="s">
        <v>880</v>
      </c>
      <c r="N61" s="110" t="s">
        <v>773</v>
      </c>
      <c r="O61" s="110" t="s">
        <v>1044</v>
      </c>
      <c r="P61" s="165" t="s">
        <v>773</v>
      </c>
      <c r="Q61" s="165" t="s">
        <v>773</v>
      </c>
      <c r="R61" s="110" t="s">
        <v>1015</v>
      </c>
      <c r="S61" s="1"/>
      <c r="T61" s="393">
        <v>46173.0</v>
      </c>
    </row>
    <row r="62">
      <c r="A62" s="32">
        <v>46175.0</v>
      </c>
      <c r="B62" s="77" t="s">
        <v>1059</v>
      </c>
      <c r="C62" s="35" t="s">
        <v>1060</v>
      </c>
      <c r="D62" s="41">
        <v>190000.0</v>
      </c>
      <c r="E62" s="395" t="s">
        <v>1061</v>
      </c>
      <c r="F62" s="41">
        <v>264000.0</v>
      </c>
      <c r="G62" s="34" t="s">
        <v>880</v>
      </c>
      <c r="H62" s="34" t="s">
        <v>880</v>
      </c>
      <c r="I62" s="34" t="s">
        <v>880</v>
      </c>
      <c r="J62" s="373">
        <f t="shared" si="1"/>
        <v>190000</v>
      </c>
      <c r="K62" s="395" t="s">
        <v>1065</v>
      </c>
      <c r="L62" s="395" t="s">
        <v>1068</v>
      </c>
      <c r="M62" s="34" t="s">
        <v>773</v>
      </c>
      <c r="N62" s="34" t="s">
        <v>773</v>
      </c>
      <c r="O62" s="34" t="s">
        <v>776</v>
      </c>
      <c r="P62" s="35" t="s">
        <v>773</v>
      </c>
      <c r="Q62" s="35" t="s">
        <v>773</v>
      </c>
      <c r="R62" s="34" t="s">
        <v>1015</v>
      </c>
      <c r="S62" s="127"/>
      <c r="T62" s="44">
        <v>46183.0</v>
      </c>
      <c r="U62" s="89"/>
      <c r="V62" s="89"/>
      <c r="W62" s="89"/>
      <c r="X62" s="89"/>
      <c r="Y62" s="89"/>
      <c r="Z62" s="89"/>
      <c r="AA62" s="89"/>
      <c r="AB62" s="89"/>
      <c r="AC62" s="89"/>
      <c r="AD62" s="89"/>
      <c r="AE62" s="89"/>
      <c r="AF62" s="89"/>
      <c r="AG62" s="89"/>
      <c r="AH62" s="89"/>
      <c r="AI62" s="89"/>
      <c r="AJ62" s="89"/>
      <c r="AK62" s="89"/>
      <c r="AL62" s="89"/>
      <c r="AM62" s="89"/>
      <c r="AN62" s="89"/>
      <c r="AO62" s="89"/>
      <c r="AP62" s="89"/>
      <c r="AQ62" s="89"/>
      <c r="AR62" s="89"/>
      <c r="AS62" s="89"/>
      <c r="AT62" s="89"/>
      <c r="AU62" s="89"/>
      <c r="AV62" s="89"/>
      <c r="AW62" s="89"/>
      <c r="AX62" s="89"/>
    </row>
    <row r="63">
      <c r="A63" s="398">
        <v>46189.0</v>
      </c>
      <c r="B63" s="399" t="s">
        <v>589</v>
      </c>
      <c r="C63" s="110" t="s">
        <v>1073</v>
      </c>
      <c r="D63" s="41">
        <v>187000.0</v>
      </c>
      <c r="E63" s="387" t="s">
        <v>1074</v>
      </c>
      <c r="F63" s="244">
        <v>36000.0</v>
      </c>
      <c r="G63" s="34" t="s">
        <v>880</v>
      </c>
      <c r="H63" s="34" t="s">
        <v>880</v>
      </c>
      <c r="I63" s="34" t="s">
        <v>880</v>
      </c>
      <c r="J63" s="400">
        <f t="shared" si="1"/>
        <v>187000</v>
      </c>
      <c r="K63" s="387" t="s">
        <v>1078</v>
      </c>
      <c r="L63" s="387" t="s">
        <v>1079</v>
      </c>
      <c r="M63" s="34" t="s">
        <v>773</v>
      </c>
      <c r="N63" s="34" t="s">
        <v>773</v>
      </c>
      <c r="O63" s="34" t="s">
        <v>776</v>
      </c>
      <c r="P63" s="35" t="s">
        <v>773</v>
      </c>
      <c r="Q63" s="35" t="s">
        <v>773</v>
      </c>
      <c r="R63" s="34" t="s">
        <v>1015</v>
      </c>
      <c r="S63" s="1"/>
      <c r="T63" s="404">
        <v>46193.0</v>
      </c>
    </row>
    <row r="64">
      <c r="A64" s="398">
        <v>46184.0</v>
      </c>
      <c r="B64" s="110" t="s">
        <v>1083</v>
      </c>
      <c r="C64" s="110" t="s">
        <v>1084</v>
      </c>
      <c r="D64" s="244">
        <v>187000.0</v>
      </c>
      <c r="E64" s="387" t="s">
        <v>1086</v>
      </c>
      <c r="F64" s="244">
        <v>94500.0</v>
      </c>
      <c r="G64" s="34" t="s">
        <v>880</v>
      </c>
      <c r="H64" s="34" t="s">
        <v>880</v>
      </c>
      <c r="I64" s="34" t="s">
        <v>880</v>
      </c>
      <c r="J64" s="400">
        <f t="shared" si="1"/>
        <v>187000</v>
      </c>
      <c r="K64" s="387" t="s">
        <v>1088</v>
      </c>
      <c r="L64" s="387" t="s">
        <v>1089</v>
      </c>
      <c r="M64" s="34" t="s">
        <v>773</v>
      </c>
      <c r="N64" s="34" t="s">
        <v>773</v>
      </c>
      <c r="O64" s="110" t="s">
        <v>1044</v>
      </c>
      <c r="P64" s="35" t="s">
        <v>773</v>
      </c>
      <c r="Q64" s="35" t="s">
        <v>773</v>
      </c>
      <c r="R64" s="34" t="s">
        <v>1015</v>
      </c>
      <c r="S64" s="1"/>
      <c r="T64" s="404">
        <v>46193.0</v>
      </c>
    </row>
    <row r="65">
      <c r="A65" s="398">
        <v>46195.0</v>
      </c>
      <c r="B65" s="119" t="s">
        <v>1094</v>
      </c>
      <c r="C65" s="119" t="s">
        <v>1095</v>
      </c>
      <c r="D65" s="410">
        <v>165000.0</v>
      </c>
      <c r="E65" s="415" t="s">
        <v>1097</v>
      </c>
      <c r="F65" s="244">
        <v>120000.0</v>
      </c>
      <c r="G65" s="34" t="s">
        <v>880</v>
      </c>
      <c r="H65" s="34" t="s">
        <v>880</v>
      </c>
      <c r="I65" s="34" t="s">
        <v>880</v>
      </c>
      <c r="J65" s="400">
        <f t="shared" si="1"/>
        <v>165000</v>
      </c>
      <c r="K65" s="415" t="s">
        <v>1104</v>
      </c>
      <c r="L65" s="415" t="s">
        <v>1109</v>
      </c>
      <c r="M65" s="34" t="s">
        <v>773</v>
      </c>
      <c r="N65" s="34" t="s">
        <v>773</v>
      </c>
      <c r="O65" s="110" t="s">
        <v>1044</v>
      </c>
      <c r="P65" s="35" t="s">
        <v>773</v>
      </c>
      <c r="Q65" s="35" t="s">
        <v>773</v>
      </c>
      <c r="R65" s="34" t="s">
        <v>1015</v>
      </c>
      <c r="S65" s="186"/>
      <c r="T65" s="404">
        <v>46203.0</v>
      </c>
      <c r="U65" s="143"/>
      <c r="V65" s="143"/>
      <c r="W65" s="143"/>
      <c r="X65" s="143"/>
      <c r="Y65" s="143"/>
      <c r="Z65" s="143"/>
      <c r="AA65" s="143"/>
      <c r="AB65" s="143"/>
      <c r="AC65" s="143"/>
      <c r="AD65" s="143"/>
      <c r="AE65" s="143"/>
      <c r="AF65" s="143"/>
      <c r="AG65" s="143"/>
      <c r="AH65" s="143"/>
      <c r="AI65" s="143"/>
      <c r="AJ65" s="143"/>
      <c r="AK65" s="143"/>
      <c r="AL65" s="143"/>
      <c r="AM65" s="143"/>
      <c r="AN65" s="143"/>
      <c r="AO65" s="143"/>
      <c r="AP65" s="143"/>
      <c r="AQ65" s="143"/>
      <c r="AR65" s="143"/>
      <c r="AS65" s="143"/>
      <c r="AT65" s="143"/>
      <c r="AU65" s="143"/>
      <c r="AV65" s="143"/>
      <c r="AW65" s="143"/>
      <c r="AX65" s="143"/>
    </row>
    <row r="66">
      <c r="A66" s="429">
        <v>46197.0</v>
      </c>
      <c r="B66" s="77" t="s">
        <v>1113</v>
      </c>
      <c r="C66" s="34" t="s">
        <v>1114</v>
      </c>
      <c r="D66" s="41">
        <v>207000.0</v>
      </c>
      <c r="E66" s="395" t="s">
        <v>1117</v>
      </c>
      <c r="F66" s="34" t="s">
        <v>880</v>
      </c>
      <c r="G66" s="34" t="s">
        <v>880</v>
      </c>
      <c r="H66" s="34" t="s">
        <v>880</v>
      </c>
      <c r="I66" s="34" t="s">
        <v>880</v>
      </c>
      <c r="J66" s="144">
        <f t="shared" si="1"/>
        <v>207000</v>
      </c>
      <c r="K66" s="34" t="s">
        <v>880</v>
      </c>
      <c r="L66" s="395" t="s">
        <v>1122</v>
      </c>
      <c r="M66" s="34" t="s">
        <v>773</v>
      </c>
      <c r="N66" s="34" t="s">
        <v>773</v>
      </c>
      <c r="O66" s="34" t="s">
        <v>776</v>
      </c>
      <c r="P66" s="35" t="s">
        <v>773</v>
      </c>
      <c r="Q66" s="35" t="s">
        <v>773</v>
      </c>
      <c r="R66" s="34" t="s">
        <v>1015</v>
      </c>
      <c r="S66" s="127"/>
      <c r="T66" s="404">
        <v>46203.0</v>
      </c>
      <c r="U66" s="89"/>
      <c r="V66" s="89"/>
      <c r="W66" s="89"/>
      <c r="X66" s="89"/>
      <c r="Y66" s="89"/>
      <c r="Z66" s="89"/>
      <c r="AA66" s="89"/>
      <c r="AB66" s="89"/>
      <c r="AC66" s="89"/>
      <c r="AD66" s="89"/>
      <c r="AE66" s="89"/>
      <c r="AF66" s="89"/>
      <c r="AG66" s="89"/>
      <c r="AH66" s="89"/>
      <c r="AI66" s="89"/>
      <c r="AJ66" s="89"/>
      <c r="AK66" s="89"/>
      <c r="AL66" s="89"/>
      <c r="AM66" s="89"/>
      <c r="AN66" s="89"/>
      <c r="AO66" s="89"/>
      <c r="AP66" s="89"/>
      <c r="AQ66" s="89"/>
      <c r="AR66" s="89"/>
      <c r="AS66" s="89"/>
      <c r="AT66" s="89"/>
      <c r="AU66" s="89"/>
      <c r="AV66" s="89"/>
      <c r="AW66" s="89"/>
      <c r="AX66" s="89"/>
    </row>
    <row r="67">
      <c r="A67" s="109">
        <v>46206.0</v>
      </c>
      <c r="B67" s="110" t="s">
        <v>1127</v>
      </c>
      <c r="C67" s="110" t="s">
        <v>1128</v>
      </c>
      <c r="D67" s="244">
        <v>185000.0</v>
      </c>
      <c r="E67" s="415" t="s">
        <v>1129</v>
      </c>
      <c r="F67" s="244">
        <v>138000.0</v>
      </c>
      <c r="G67" s="34" t="s">
        <v>880</v>
      </c>
      <c r="H67" s="34" t="s">
        <v>880</v>
      </c>
      <c r="I67" s="34" t="s">
        <v>880</v>
      </c>
      <c r="J67" s="400">
        <f t="shared" si="1"/>
        <v>185000</v>
      </c>
      <c r="K67" s="415" t="s">
        <v>1134</v>
      </c>
      <c r="L67" s="415" t="s">
        <v>1136</v>
      </c>
      <c r="M67" s="34" t="s">
        <v>773</v>
      </c>
      <c r="N67" s="34" t="s">
        <v>773</v>
      </c>
      <c r="O67" s="34" t="s">
        <v>776</v>
      </c>
      <c r="P67" s="35" t="s">
        <v>773</v>
      </c>
      <c r="Q67" s="35" t="s">
        <v>773</v>
      </c>
      <c r="R67" s="34" t="s">
        <v>1015</v>
      </c>
      <c r="S67" s="127"/>
      <c r="T67" s="404">
        <v>46214.0</v>
      </c>
    </row>
    <row r="68">
      <c r="A68" s="109">
        <v>46210.0</v>
      </c>
      <c r="B68" s="110" t="s">
        <v>1137</v>
      </c>
      <c r="C68" s="110" t="s">
        <v>1138</v>
      </c>
      <c r="D68" s="244">
        <v>180000.0</v>
      </c>
      <c r="E68" s="415" t="s">
        <v>1139</v>
      </c>
      <c r="F68" s="244">
        <v>240000.0</v>
      </c>
      <c r="G68" s="41">
        <v>80000.0</v>
      </c>
      <c r="H68" s="34" t="s">
        <v>880</v>
      </c>
      <c r="I68" s="34" t="s">
        <v>880</v>
      </c>
      <c r="J68" s="400">
        <f>D68-G68</f>
        <v>100000</v>
      </c>
      <c r="K68" s="415" t="s">
        <v>1143</v>
      </c>
      <c r="L68" s="415" t="s">
        <v>1136</v>
      </c>
      <c r="M68" s="34" t="s">
        <v>773</v>
      </c>
      <c r="N68" s="34" t="s">
        <v>773</v>
      </c>
      <c r="O68" s="34" t="s">
        <v>776</v>
      </c>
      <c r="P68" s="35" t="s">
        <v>773</v>
      </c>
      <c r="Q68" s="35" t="s">
        <v>773</v>
      </c>
      <c r="R68" s="34" t="s">
        <v>1015</v>
      </c>
      <c r="S68" s="186"/>
      <c r="T68" s="404">
        <v>46214.0</v>
      </c>
    </row>
    <row r="69">
      <c r="A69" s="32">
        <v>46227.0</v>
      </c>
      <c r="B69" s="153" t="s">
        <v>1145</v>
      </c>
      <c r="C69" s="443" t="s">
        <v>1146</v>
      </c>
      <c r="D69" s="41">
        <v>185000.0</v>
      </c>
      <c r="E69" s="448" t="s">
        <v>1147</v>
      </c>
      <c r="F69" s="41">
        <v>96000.0</v>
      </c>
      <c r="G69" s="34" t="s">
        <v>880</v>
      </c>
      <c r="H69" s="34" t="s">
        <v>880</v>
      </c>
      <c r="I69" s="34" t="s">
        <v>880</v>
      </c>
      <c r="J69" s="144">
        <f>D69</f>
        <v>185000</v>
      </c>
      <c r="K69" s="448" t="s">
        <v>1150</v>
      </c>
      <c r="L69" s="451" t="s">
        <v>1152</v>
      </c>
      <c r="M69" s="34" t="s">
        <v>773</v>
      </c>
      <c r="N69" s="34" t="s">
        <v>773</v>
      </c>
      <c r="O69" s="34" t="s">
        <v>1044</v>
      </c>
      <c r="P69" s="35" t="s">
        <v>773</v>
      </c>
      <c r="Q69" s="35" t="s">
        <v>773</v>
      </c>
      <c r="R69" s="34" t="s">
        <v>1015</v>
      </c>
      <c r="S69" s="1"/>
      <c r="T69" s="452">
        <v>46246.0</v>
      </c>
    </row>
    <row r="73">
      <c r="B73" s="360" t="s">
        <v>988</v>
      </c>
      <c r="C73" s="4"/>
      <c r="D73" s="4"/>
      <c r="E73" s="4"/>
      <c r="F73" s="4"/>
      <c r="G73" s="4"/>
      <c r="H73" s="4"/>
      <c r="I73" s="4"/>
      <c r="J73" s="4"/>
      <c r="K73" s="4"/>
      <c r="L73" s="4"/>
      <c r="M73" s="4"/>
      <c r="N73" s="4"/>
      <c r="O73" s="4"/>
      <c r="P73" s="4"/>
      <c r="Q73" s="4"/>
      <c r="R73" s="4"/>
      <c r="S73" s="4"/>
      <c r="T73" s="6"/>
    </row>
    <row r="74">
      <c r="A74" s="306" t="s">
        <v>10</v>
      </c>
      <c r="B74" s="308" t="s">
        <v>13</v>
      </c>
      <c r="C74" s="311" t="s">
        <v>11</v>
      </c>
      <c r="D74" s="312" t="s">
        <v>693</v>
      </c>
      <c r="E74" s="313" t="s">
        <v>15</v>
      </c>
      <c r="F74" s="308" t="s">
        <v>698</v>
      </c>
      <c r="G74" s="308" t="s">
        <v>911</v>
      </c>
      <c r="H74" s="308" t="s">
        <v>700</v>
      </c>
      <c r="I74" s="308" t="s">
        <v>701</v>
      </c>
      <c r="J74" s="308" t="s">
        <v>704</v>
      </c>
      <c r="K74" s="308" t="s">
        <v>706</v>
      </c>
      <c r="L74" s="308" t="s">
        <v>707</v>
      </c>
      <c r="M74" s="308" t="s">
        <v>709</v>
      </c>
      <c r="N74" s="308" t="s">
        <v>710</v>
      </c>
      <c r="O74" s="308" t="s">
        <v>711</v>
      </c>
      <c r="P74" s="308" t="s">
        <v>712</v>
      </c>
      <c r="Q74" s="308" t="s">
        <v>714</v>
      </c>
      <c r="R74" s="308" t="s">
        <v>717</v>
      </c>
      <c r="S74" s="308" t="s">
        <v>719</v>
      </c>
      <c r="T74" s="308" t="s">
        <v>721</v>
      </c>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row>
    <row r="75">
      <c r="A75" s="32">
        <v>46158.0</v>
      </c>
      <c r="B75" s="34" t="s">
        <v>36</v>
      </c>
      <c r="C75" s="34" t="s">
        <v>1158</v>
      </c>
      <c r="D75" s="41">
        <v>175000.0</v>
      </c>
      <c r="E75" s="35" t="s">
        <v>29</v>
      </c>
      <c r="F75" s="42">
        <v>60000.0</v>
      </c>
      <c r="G75" s="35" t="s">
        <v>880</v>
      </c>
      <c r="H75" s="35" t="s">
        <v>880</v>
      </c>
      <c r="I75" s="35" t="s">
        <v>880</v>
      </c>
      <c r="J75" s="461">
        <f>D75</f>
        <v>175000</v>
      </c>
      <c r="K75" s="329" t="s">
        <v>1162</v>
      </c>
      <c r="L75" s="395" t="s">
        <v>1167</v>
      </c>
      <c r="M75" s="35" t="s">
        <v>773</v>
      </c>
      <c r="N75" s="34" t="s">
        <v>773</v>
      </c>
      <c r="O75" s="34" t="s">
        <v>1044</v>
      </c>
      <c r="P75" s="35" t="s">
        <v>773</v>
      </c>
      <c r="Q75" s="35" t="s">
        <v>773</v>
      </c>
      <c r="R75" s="127"/>
      <c r="S75" s="466" t="s">
        <v>1169</v>
      </c>
      <c r="T75" s="44">
        <v>46167.0</v>
      </c>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row>
    <row r="76">
      <c r="A76" s="384">
        <v>46188.0</v>
      </c>
      <c r="B76" s="101" t="s">
        <v>1172</v>
      </c>
      <c r="C76" s="101" t="s">
        <v>1173</v>
      </c>
      <c r="D76" s="41">
        <v>300000.0</v>
      </c>
      <c r="E76" s="395" t="s">
        <v>1174</v>
      </c>
      <c r="F76" s="41">
        <v>210000.0</v>
      </c>
      <c r="G76" s="37">
        <f>132000-F76</f>
        <v>-78000</v>
      </c>
      <c r="H76" s="35" t="s">
        <v>880</v>
      </c>
      <c r="I76" s="35" t="s">
        <v>880</v>
      </c>
      <c r="J76" s="144">
        <f>D76+G76</f>
        <v>222000</v>
      </c>
      <c r="K76" s="415" t="s">
        <v>1182</v>
      </c>
      <c r="L76" s="415" t="s">
        <v>1184</v>
      </c>
      <c r="M76" s="110" t="s">
        <v>773</v>
      </c>
      <c r="N76" s="34" t="s">
        <v>773</v>
      </c>
      <c r="O76" s="34" t="s">
        <v>1044</v>
      </c>
      <c r="P76" s="35" t="s">
        <v>773</v>
      </c>
      <c r="Q76" s="35" t="s">
        <v>773</v>
      </c>
      <c r="R76" s="186"/>
      <c r="S76" s="473" t="s">
        <v>1188</v>
      </c>
      <c r="T76" s="463">
        <v>46193.0</v>
      </c>
    </row>
    <row r="77">
      <c r="A77" s="384">
        <v>46187.0</v>
      </c>
      <c r="B77" s="101" t="s">
        <v>1191</v>
      </c>
      <c r="C77" s="101" t="s">
        <v>1192</v>
      </c>
      <c r="D77" s="41">
        <v>185000.0</v>
      </c>
      <c r="E77" s="395" t="s">
        <v>1193</v>
      </c>
      <c r="F77" s="34" t="s">
        <v>880</v>
      </c>
      <c r="G77" s="34" t="s">
        <v>880</v>
      </c>
      <c r="H77" s="41">
        <v>26800.0</v>
      </c>
      <c r="I77" s="34" t="s">
        <v>880</v>
      </c>
      <c r="J77" s="144">
        <f t="shared" ref="J77:J79" si="2">D77+H77</f>
        <v>211800</v>
      </c>
      <c r="K77" s="477"/>
      <c r="L77" s="448" t="s">
        <v>1195</v>
      </c>
      <c r="M77" s="34" t="s">
        <v>773</v>
      </c>
      <c r="N77" s="34" t="s">
        <v>773</v>
      </c>
      <c r="O77" s="34" t="s">
        <v>1033</v>
      </c>
      <c r="P77" s="35" t="s">
        <v>773</v>
      </c>
      <c r="Q77" s="35" t="s">
        <v>773</v>
      </c>
      <c r="R77" s="207"/>
      <c r="S77" s="406" t="s">
        <v>1199</v>
      </c>
      <c r="T77" s="463">
        <v>46193.0</v>
      </c>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row>
    <row r="78">
      <c r="A78" s="384">
        <v>46190.0</v>
      </c>
      <c r="B78" s="101" t="s">
        <v>133</v>
      </c>
      <c r="C78" s="101" t="s">
        <v>1203</v>
      </c>
      <c r="D78" s="41">
        <v>185000.0</v>
      </c>
      <c r="E78" s="395" t="s">
        <v>1204</v>
      </c>
      <c r="F78" s="34" t="s">
        <v>880</v>
      </c>
      <c r="G78" s="34" t="s">
        <v>880</v>
      </c>
      <c r="H78" s="41">
        <v>28000.0</v>
      </c>
      <c r="I78" s="34" t="s">
        <v>880</v>
      </c>
      <c r="J78" s="144">
        <f t="shared" si="2"/>
        <v>213000</v>
      </c>
      <c r="K78" s="478"/>
      <c r="L78" s="387" t="s">
        <v>1206</v>
      </c>
      <c r="M78" s="110" t="s">
        <v>773</v>
      </c>
      <c r="N78" s="34" t="s">
        <v>773</v>
      </c>
      <c r="O78" s="34" t="s">
        <v>1044</v>
      </c>
      <c r="P78" s="35" t="s">
        <v>773</v>
      </c>
      <c r="Q78" s="35" t="s">
        <v>773</v>
      </c>
      <c r="R78" s="1"/>
      <c r="S78" s="1"/>
      <c r="T78" s="463">
        <v>46193.0</v>
      </c>
    </row>
    <row r="79">
      <c r="A79" s="384">
        <v>46205.0</v>
      </c>
      <c r="B79" s="34" t="s">
        <v>1211</v>
      </c>
      <c r="C79" s="34" t="s">
        <v>1212</v>
      </c>
      <c r="D79" s="41">
        <v>175000.0</v>
      </c>
      <c r="E79" s="448" t="s">
        <v>1215</v>
      </c>
      <c r="F79" s="34" t="s">
        <v>880</v>
      </c>
      <c r="G79" s="34" t="s">
        <v>880</v>
      </c>
      <c r="H79" s="41">
        <f>22000+10000</f>
        <v>32000</v>
      </c>
      <c r="I79" s="34" t="s">
        <v>880</v>
      </c>
      <c r="J79" s="144">
        <f t="shared" si="2"/>
        <v>207000</v>
      </c>
      <c r="K79" s="34" t="s">
        <v>880</v>
      </c>
      <c r="L79" s="448" t="s">
        <v>1220</v>
      </c>
      <c r="M79" s="110" t="s">
        <v>773</v>
      </c>
      <c r="N79" s="34" t="s">
        <v>773</v>
      </c>
      <c r="O79" s="34" t="s">
        <v>1044</v>
      </c>
      <c r="P79" s="35" t="s">
        <v>773</v>
      </c>
      <c r="Q79" s="35" t="s">
        <v>773</v>
      </c>
      <c r="R79" s="207"/>
      <c r="S79" s="207"/>
      <c r="T79" s="480"/>
    </row>
    <row r="80">
      <c r="A80" s="384">
        <v>46212.0</v>
      </c>
      <c r="B80" s="110" t="s">
        <v>728</v>
      </c>
      <c r="C80" s="110" t="s">
        <v>1223</v>
      </c>
      <c r="D80" s="244">
        <v>195000.0</v>
      </c>
      <c r="E80" s="415" t="s">
        <v>1224</v>
      </c>
      <c r="F80" s="34" t="s">
        <v>880</v>
      </c>
      <c r="G80" s="34" t="s">
        <v>880</v>
      </c>
      <c r="H80" s="34" t="s">
        <v>880</v>
      </c>
      <c r="I80" s="34" t="s">
        <v>880</v>
      </c>
      <c r="J80" s="400">
        <f>D80</f>
        <v>195000</v>
      </c>
      <c r="K80" s="34" t="s">
        <v>880</v>
      </c>
      <c r="L80" s="415" t="s">
        <v>1229</v>
      </c>
      <c r="M80" s="110" t="s">
        <v>773</v>
      </c>
      <c r="N80" s="34" t="s">
        <v>773</v>
      </c>
      <c r="O80" s="110" t="s">
        <v>1044</v>
      </c>
      <c r="P80" s="35" t="s">
        <v>773</v>
      </c>
      <c r="Q80" s="35" t="s">
        <v>773</v>
      </c>
      <c r="R80" s="207"/>
      <c r="S80" s="186"/>
      <c r="T80" s="370"/>
    </row>
    <row r="81">
      <c r="A81" s="391">
        <v>46208.0</v>
      </c>
      <c r="B81" s="392" t="s">
        <v>368</v>
      </c>
      <c r="C81" s="392" t="s">
        <v>1231</v>
      </c>
      <c r="D81" s="37">
        <v>195000.0</v>
      </c>
      <c r="E81" s="485" t="s">
        <v>1232</v>
      </c>
      <c r="F81" s="41" t="s">
        <v>880</v>
      </c>
      <c r="G81" s="41" t="s">
        <v>880</v>
      </c>
      <c r="H81" s="41">
        <v>43000.0</v>
      </c>
      <c r="I81" s="41" t="s">
        <v>880</v>
      </c>
      <c r="J81" s="144">
        <f t="shared" ref="J81:J82" si="3">D81+H81</f>
        <v>238000</v>
      </c>
      <c r="K81" s="34" t="s">
        <v>880</v>
      </c>
      <c r="L81" s="487" t="s">
        <v>1236</v>
      </c>
      <c r="M81" s="34" t="s">
        <v>773</v>
      </c>
      <c r="N81" s="34" t="s">
        <v>773</v>
      </c>
      <c r="O81" s="34" t="s">
        <v>1033</v>
      </c>
      <c r="P81" s="35" t="s">
        <v>773</v>
      </c>
      <c r="Q81" s="35" t="s">
        <v>773</v>
      </c>
      <c r="R81" s="207"/>
      <c r="S81" s="186"/>
      <c r="T81" s="33">
        <v>46222.0</v>
      </c>
    </row>
    <row r="82">
      <c r="A82" s="33">
        <v>46228.0</v>
      </c>
      <c r="B82" s="488" t="s">
        <v>1238</v>
      </c>
      <c r="C82" s="35" t="s">
        <v>1239</v>
      </c>
      <c r="D82" s="489">
        <v>185000.0</v>
      </c>
      <c r="E82" s="491" t="s">
        <v>1240</v>
      </c>
      <c r="F82" s="492">
        <v>36000.0</v>
      </c>
      <c r="G82" s="493">
        <v>0.0</v>
      </c>
      <c r="H82" s="489">
        <v>0.0</v>
      </c>
      <c r="I82" s="489">
        <v>0.0</v>
      </c>
      <c r="J82" s="144">
        <f t="shared" si="3"/>
        <v>185000</v>
      </c>
      <c r="K82" s="491" t="s">
        <v>1244</v>
      </c>
      <c r="L82" s="491" t="s">
        <v>1246</v>
      </c>
      <c r="M82" s="496" t="s">
        <v>773</v>
      </c>
      <c r="N82" s="34" t="s">
        <v>773</v>
      </c>
      <c r="O82" s="496" t="s">
        <v>1250</v>
      </c>
      <c r="P82" s="496" t="s">
        <v>773</v>
      </c>
      <c r="Q82" s="496" t="s">
        <v>773</v>
      </c>
      <c r="R82" s="496" t="s">
        <v>1234</v>
      </c>
      <c r="S82" s="496"/>
      <c r="T82" s="497">
        <v>46246.0</v>
      </c>
      <c r="U82" s="147"/>
      <c r="V82" s="147"/>
      <c r="W82" s="147"/>
      <c r="X82" s="147"/>
      <c r="Y82" s="147"/>
      <c r="Z82" s="147"/>
      <c r="AA82" s="147"/>
      <c r="AB82" s="147"/>
      <c r="AC82" s="147"/>
      <c r="AD82" s="147"/>
      <c r="AE82" s="147"/>
      <c r="AF82" s="147"/>
      <c r="AG82" s="147"/>
      <c r="AH82" s="147"/>
      <c r="AI82" s="147"/>
      <c r="AJ82" s="498"/>
      <c r="AK82" s="93"/>
      <c r="AL82" s="93"/>
      <c r="AM82" s="93"/>
      <c r="AN82" s="93"/>
      <c r="AO82" s="93"/>
      <c r="AP82" s="93"/>
      <c r="AQ82" s="93"/>
      <c r="AR82" s="93"/>
      <c r="AS82" s="93"/>
      <c r="AT82" s="93"/>
      <c r="AU82" s="93"/>
      <c r="AV82" s="93"/>
      <c r="AW82" s="93"/>
      <c r="AX82" s="93"/>
    </row>
    <row r="83">
      <c r="A83" s="499"/>
      <c r="C83" s="500"/>
    </row>
    <row r="85">
      <c r="B85" s="360" t="s">
        <v>1062</v>
      </c>
      <c r="C85" s="4"/>
      <c r="D85" s="4"/>
      <c r="E85" s="4"/>
      <c r="F85" s="4"/>
      <c r="G85" s="4"/>
      <c r="H85" s="4"/>
      <c r="I85" s="4"/>
      <c r="J85" s="4"/>
      <c r="K85" s="4"/>
      <c r="L85" s="4"/>
      <c r="M85" s="4"/>
      <c r="N85" s="4"/>
      <c r="O85" s="4"/>
      <c r="P85" s="4"/>
      <c r="Q85" s="4"/>
      <c r="R85" s="4"/>
      <c r="S85" s="4"/>
      <c r="T85" s="6"/>
    </row>
    <row r="86">
      <c r="A86" s="306" t="s">
        <v>10</v>
      </c>
      <c r="B86" s="308" t="s">
        <v>13</v>
      </c>
      <c r="C86" s="311" t="s">
        <v>11</v>
      </c>
      <c r="D86" s="312" t="s">
        <v>693</v>
      </c>
      <c r="E86" s="313" t="s">
        <v>15</v>
      </c>
      <c r="F86" s="308" t="s">
        <v>698</v>
      </c>
      <c r="G86" s="308" t="s">
        <v>911</v>
      </c>
      <c r="H86" s="308" t="s">
        <v>700</v>
      </c>
      <c r="I86" s="308" t="s">
        <v>701</v>
      </c>
      <c r="J86" s="308" t="s">
        <v>704</v>
      </c>
      <c r="K86" s="308" t="s">
        <v>706</v>
      </c>
      <c r="L86" s="308" t="s">
        <v>707</v>
      </c>
      <c r="M86" s="308" t="s">
        <v>709</v>
      </c>
      <c r="N86" s="308" t="s">
        <v>710</v>
      </c>
      <c r="O86" s="308" t="s">
        <v>711</v>
      </c>
      <c r="P86" s="308" t="s">
        <v>712</v>
      </c>
      <c r="Q86" s="308" t="s">
        <v>714</v>
      </c>
      <c r="R86" s="308" t="s">
        <v>717</v>
      </c>
      <c r="S86" s="308" t="s">
        <v>719</v>
      </c>
      <c r="T86" s="308" t="s">
        <v>721</v>
      </c>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row>
    <row r="87">
      <c r="A87" s="109">
        <v>46156.0</v>
      </c>
      <c r="B87" s="110" t="s">
        <v>210</v>
      </c>
      <c r="C87" s="110" t="s">
        <v>1255</v>
      </c>
      <c r="D87" s="244">
        <v>165000.0</v>
      </c>
      <c r="E87" s="165" t="s">
        <v>29</v>
      </c>
      <c r="F87" s="345">
        <v>55000.0</v>
      </c>
      <c r="G87" s="165" t="s">
        <v>880</v>
      </c>
      <c r="H87" s="345">
        <v>5000.0</v>
      </c>
      <c r="I87" s="165" t="s">
        <v>880</v>
      </c>
      <c r="J87" s="355">
        <f>D87+H87</f>
        <v>170000</v>
      </c>
      <c r="K87" s="320" t="s">
        <v>1259</v>
      </c>
      <c r="L87" s="415" t="s">
        <v>1263</v>
      </c>
      <c r="M87" s="110" t="s">
        <v>773</v>
      </c>
      <c r="N87" s="110" t="s">
        <v>773</v>
      </c>
      <c r="O87" s="110" t="s">
        <v>1044</v>
      </c>
      <c r="P87" s="165" t="s">
        <v>773</v>
      </c>
      <c r="Q87" s="165" t="s">
        <v>773</v>
      </c>
      <c r="R87" s="186"/>
      <c r="S87" s="186"/>
      <c r="T87" s="463">
        <v>46167.0</v>
      </c>
    </row>
    <row r="88">
      <c r="A88" s="109">
        <v>46157.0</v>
      </c>
      <c r="B88" s="110" t="s">
        <v>1266</v>
      </c>
      <c r="C88" s="110" t="s">
        <v>1267</v>
      </c>
      <c r="D88" s="244">
        <v>155000.0</v>
      </c>
      <c r="E88" s="165" t="s">
        <v>29</v>
      </c>
      <c r="F88" s="345">
        <v>36000.0</v>
      </c>
      <c r="G88" s="165" t="s">
        <v>880</v>
      </c>
      <c r="H88" s="165" t="s">
        <v>880</v>
      </c>
      <c r="I88" s="165" t="s">
        <v>880</v>
      </c>
      <c r="J88" s="355">
        <f>D88</f>
        <v>155000</v>
      </c>
      <c r="K88" s="320" t="s">
        <v>1271</v>
      </c>
      <c r="L88" s="415" t="s">
        <v>1276</v>
      </c>
      <c r="M88" s="110" t="s">
        <v>773</v>
      </c>
      <c r="N88" s="110" t="s">
        <v>773</v>
      </c>
      <c r="O88" s="110" t="s">
        <v>776</v>
      </c>
      <c r="P88" s="165" t="s">
        <v>773</v>
      </c>
      <c r="Q88" s="165" t="s">
        <v>773</v>
      </c>
      <c r="R88" s="186"/>
      <c r="S88" s="186"/>
      <c r="T88" s="463">
        <v>46167.0</v>
      </c>
    </row>
    <row r="89">
      <c r="A89" s="109">
        <v>46198.0</v>
      </c>
      <c r="B89" s="110" t="s">
        <v>1280</v>
      </c>
      <c r="C89" s="110" t="s">
        <v>1281</v>
      </c>
      <c r="D89" s="244">
        <v>185000.0</v>
      </c>
      <c r="E89" s="165" t="s">
        <v>29</v>
      </c>
      <c r="F89" s="244">
        <v>96000.0</v>
      </c>
      <c r="G89" s="110" t="s">
        <v>880</v>
      </c>
      <c r="H89" s="244">
        <v>10000.0</v>
      </c>
      <c r="I89" s="110" t="s">
        <v>880</v>
      </c>
      <c r="J89" s="510">
        <f t="shared" ref="J89:J90" si="4">D89+H89</f>
        <v>195000</v>
      </c>
      <c r="K89" s="415" t="s">
        <v>1284</v>
      </c>
      <c r="L89" s="415" t="s">
        <v>1289</v>
      </c>
      <c r="M89" s="110" t="s">
        <v>773</v>
      </c>
      <c r="N89" s="110" t="s">
        <v>773</v>
      </c>
      <c r="O89" s="110" t="s">
        <v>776</v>
      </c>
      <c r="P89" s="165" t="s">
        <v>773</v>
      </c>
      <c r="Q89" s="165" t="s">
        <v>773</v>
      </c>
      <c r="R89" s="186"/>
      <c r="S89" s="186"/>
      <c r="T89" s="109">
        <v>46215.0</v>
      </c>
    </row>
    <row r="90">
      <c r="A90" s="109">
        <v>46209.0</v>
      </c>
      <c r="B90" s="110" t="s">
        <v>734</v>
      </c>
      <c r="C90" s="110" t="s">
        <v>1298</v>
      </c>
      <c r="D90" s="244">
        <v>165000.0</v>
      </c>
      <c r="E90" s="415" t="s">
        <v>1299</v>
      </c>
      <c r="F90" s="110" t="s">
        <v>880</v>
      </c>
      <c r="G90" s="110" t="s">
        <v>880</v>
      </c>
      <c r="H90" s="244">
        <v>22000.0</v>
      </c>
      <c r="I90" s="110" t="s">
        <v>880</v>
      </c>
      <c r="J90" s="400">
        <f t="shared" si="4"/>
        <v>187000</v>
      </c>
      <c r="K90" s="415" t="s">
        <v>1302</v>
      </c>
      <c r="L90" s="415" t="s">
        <v>1303</v>
      </c>
      <c r="M90" s="110" t="s">
        <v>773</v>
      </c>
      <c r="N90" s="110" t="s">
        <v>773</v>
      </c>
      <c r="O90" s="110" t="s">
        <v>776</v>
      </c>
      <c r="P90" s="165" t="s">
        <v>773</v>
      </c>
      <c r="Q90" s="165" t="s">
        <v>773</v>
      </c>
      <c r="R90" s="186"/>
      <c r="S90" s="186"/>
      <c r="T90" s="109">
        <v>46215.0</v>
      </c>
    </row>
    <row r="98">
      <c r="B98" s="360" t="s">
        <v>1096</v>
      </c>
      <c r="C98" s="4"/>
      <c r="D98" s="4"/>
      <c r="E98" s="4"/>
      <c r="F98" s="4"/>
      <c r="G98" s="4"/>
      <c r="H98" s="4"/>
      <c r="I98" s="4"/>
      <c r="J98" s="4"/>
      <c r="K98" s="4"/>
      <c r="L98" s="4"/>
      <c r="M98" s="4"/>
      <c r="N98" s="4"/>
      <c r="O98" s="4"/>
      <c r="P98" s="4"/>
      <c r="Q98" s="4"/>
      <c r="R98" s="4"/>
      <c r="S98" s="4"/>
      <c r="T98" s="4"/>
      <c r="U98" s="6"/>
    </row>
    <row r="99">
      <c r="A99" s="26" t="s">
        <v>10</v>
      </c>
      <c r="B99" s="414" t="s">
        <v>13</v>
      </c>
      <c r="C99" s="416" t="s">
        <v>11</v>
      </c>
      <c r="D99" s="417" t="s">
        <v>693</v>
      </c>
      <c r="E99" s="419" t="s">
        <v>15</v>
      </c>
      <c r="F99" s="414" t="s">
        <v>698</v>
      </c>
      <c r="G99" s="414" t="s">
        <v>911</v>
      </c>
      <c r="H99" s="414" t="s">
        <v>700</v>
      </c>
      <c r="I99" s="414" t="s">
        <v>701</v>
      </c>
      <c r="J99" s="414" t="s">
        <v>704</v>
      </c>
      <c r="K99" s="414" t="s">
        <v>706</v>
      </c>
      <c r="L99" s="414" t="s">
        <v>707</v>
      </c>
      <c r="M99" s="414" t="s">
        <v>709</v>
      </c>
      <c r="N99" s="414" t="s">
        <v>710</v>
      </c>
      <c r="O99" s="414" t="s">
        <v>711</v>
      </c>
      <c r="P99" s="414" t="s">
        <v>712</v>
      </c>
      <c r="Q99" s="414" t="s">
        <v>714</v>
      </c>
      <c r="R99" s="414" t="s">
        <v>717</v>
      </c>
      <c r="S99" s="414" t="s">
        <v>719</v>
      </c>
      <c r="T99" s="414" t="s">
        <v>721</v>
      </c>
      <c r="U99" s="1"/>
    </row>
    <row r="100" hidden="1">
      <c r="A100" s="529">
        <v>46143.0</v>
      </c>
      <c r="B100" s="293" t="s">
        <v>198</v>
      </c>
      <c r="C100" s="293" t="s">
        <v>1313</v>
      </c>
      <c r="D100" s="292">
        <v>0.0</v>
      </c>
      <c r="E100" s="426" t="s">
        <v>1315</v>
      </c>
      <c r="F100" s="293" t="s">
        <v>880</v>
      </c>
      <c r="G100" s="293" t="s">
        <v>880</v>
      </c>
      <c r="H100" s="293" t="s">
        <v>880</v>
      </c>
      <c r="I100" s="293" t="s">
        <v>880</v>
      </c>
      <c r="J100" s="373">
        <f t="shared" ref="J100:J120" si="5">D100</f>
        <v>0</v>
      </c>
      <c r="K100" s="35" t="s">
        <v>880</v>
      </c>
      <c r="L100" s="329" t="s">
        <v>1319</v>
      </c>
      <c r="M100" s="35" t="s">
        <v>880</v>
      </c>
      <c r="N100" s="35" t="s">
        <v>777</v>
      </c>
      <c r="O100" s="93"/>
      <c r="P100" s="35" t="s">
        <v>880</v>
      </c>
      <c r="Q100" s="35" t="s">
        <v>777</v>
      </c>
      <c r="R100" s="93"/>
      <c r="S100" s="93"/>
      <c r="T100" s="35" t="s">
        <v>1015</v>
      </c>
      <c r="U100" s="93"/>
      <c r="V100" s="428" t="s">
        <v>1323</v>
      </c>
      <c r="W100" s="147"/>
      <c r="X100" s="147"/>
      <c r="Y100" s="147"/>
      <c r="Z100" s="147"/>
      <c r="AA100" s="147"/>
      <c r="AB100" s="147"/>
      <c r="AC100" s="147"/>
      <c r="AD100" s="147"/>
      <c r="AE100" s="147"/>
      <c r="AF100" s="147"/>
      <c r="AG100" s="147"/>
      <c r="AH100" s="147"/>
      <c r="AI100" s="147"/>
      <c r="AJ100" s="147"/>
      <c r="AK100" s="147"/>
      <c r="AL100" s="147"/>
      <c r="AM100" s="147"/>
      <c r="AN100" s="147"/>
      <c r="AO100" s="147"/>
      <c r="AP100" s="147"/>
      <c r="AQ100" s="147"/>
      <c r="AR100" s="147"/>
      <c r="AS100" s="147"/>
      <c r="AT100" s="147"/>
      <c r="AU100" s="147"/>
      <c r="AV100" s="147"/>
      <c r="AW100" s="147"/>
      <c r="AX100" s="147"/>
    </row>
    <row r="101" hidden="1">
      <c r="A101" s="529">
        <v>46145.0</v>
      </c>
      <c r="B101" s="426" t="s">
        <v>20</v>
      </c>
      <c r="C101" s="426" t="s">
        <v>1325</v>
      </c>
      <c r="D101" s="432">
        <v>0.0</v>
      </c>
      <c r="E101" s="426" t="s">
        <v>1315</v>
      </c>
      <c r="F101" s="293" t="s">
        <v>880</v>
      </c>
      <c r="G101" s="293" t="s">
        <v>880</v>
      </c>
      <c r="H101" s="293" t="s">
        <v>880</v>
      </c>
      <c r="I101" s="293" t="s">
        <v>880</v>
      </c>
      <c r="J101" s="373">
        <f t="shared" si="5"/>
        <v>0</v>
      </c>
      <c r="K101" s="35" t="s">
        <v>880</v>
      </c>
      <c r="L101" s="329" t="s">
        <v>1328</v>
      </c>
      <c r="M101" s="35" t="s">
        <v>880</v>
      </c>
      <c r="N101" s="35" t="s">
        <v>777</v>
      </c>
      <c r="O101" s="388"/>
      <c r="P101" s="388"/>
      <c r="Q101" s="388"/>
      <c r="R101" s="388"/>
      <c r="S101" s="388"/>
      <c r="T101" s="35" t="s">
        <v>1015</v>
      </c>
      <c r="U101" s="93"/>
      <c r="V101" s="7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row>
    <row r="102" hidden="1">
      <c r="A102" s="529">
        <v>46146.0</v>
      </c>
      <c r="B102" s="423" t="s">
        <v>1332</v>
      </c>
      <c r="C102" s="426" t="s">
        <v>1334</v>
      </c>
      <c r="D102" s="432">
        <v>0.0</v>
      </c>
      <c r="E102" s="426" t="s">
        <v>1315</v>
      </c>
      <c r="F102" s="293" t="s">
        <v>880</v>
      </c>
      <c r="G102" s="293" t="s">
        <v>880</v>
      </c>
      <c r="H102" s="293" t="s">
        <v>880</v>
      </c>
      <c r="I102" s="293" t="s">
        <v>880</v>
      </c>
      <c r="J102" s="373">
        <f t="shared" si="5"/>
        <v>0</v>
      </c>
      <c r="K102" s="35" t="s">
        <v>880</v>
      </c>
      <c r="L102" s="65" t="s">
        <v>1015</v>
      </c>
      <c r="M102" s="35" t="s">
        <v>880</v>
      </c>
      <c r="N102" s="35" t="s">
        <v>777</v>
      </c>
      <c r="O102" s="388"/>
      <c r="P102" s="388"/>
      <c r="Q102" s="388"/>
      <c r="R102" s="388"/>
      <c r="S102" s="388"/>
      <c r="T102" s="35" t="s">
        <v>1015</v>
      </c>
      <c r="U102" s="93"/>
      <c r="V102" s="71"/>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row>
    <row r="103" hidden="1">
      <c r="A103" s="529">
        <v>46147.0</v>
      </c>
      <c r="B103" s="426" t="s">
        <v>1337</v>
      </c>
      <c r="C103" s="293" t="s">
        <v>1338</v>
      </c>
      <c r="D103" s="432">
        <v>0.0</v>
      </c>
      <c r="E103" s="426" t="s">
        <v>1315</v>
      </c>
      <c r="F103" s="432">
        <v>120000.0</v>
      </c>
      <c r="G103" s="293" t="s">
        <v>880</v>
      </c>
      <c r="H103" s="293" t="s">
        <v>880</v>
      </c>
      <c r="I103" s="293" t="s">
        <v>880</v>
      </c>
      <c r="J103" s="373">
        <f t="shared" si="5"/>
        <v>0</v>
      </c>
      <c r="K103" s="35" t="s">
        <v>880</v>
      </c>
      <c r="L103" s="374"/>
      <c r="M103" s="35" t="s">
        <v>880</v>
      </c>
      <c r="N103" s="35" t="s">
        <v>777</v>
      </c>
      <c r="O103" s="388"/>
      <c r="P103" s="388"/>
      <c r="Q103" s="388"/>
      <c r="R103" s="388"/>
      <c r="S103" s="388"/>
      <c r="T103" s="35" t="s">
        <v>1015</v>
      </c>
      <c r="U103" s="93"/>
      <c r="V103" s="7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row>
    <row r="104">
      <c r="A104" s="529">
        <v>46148.0</v>
      </c>
      <c r="B104" s="423" t="s">
        <v>1340</v>
      </c>
      <c r="C104" s="293" t="s">
        <v>1341</v>
      </c>
      <c r="D104" s="432">
        <v>20000.0</v>
      </c>
      <c r="E104" s="426" t="s">
        <v>1110</v>
      </c>
      <c r="F104" s="293" t="s">
        <v>880</v>
      </c>
      <c r="G104" s="293" t="s">
        <v>880</v>
      </c>
      <c r="H104" s="293" t="s">
        <v>880</v>
      </c>
      <c r="I104" s="293" t="s">
        <v>880</v>
      </c>
      <c r="J104" s="373">
        <f t="shared" si="5"/>
        <v>20000</v>
      </c>
      <c r="K104" s="35" t="s">
        <v>880</v>
      </c>
      <c r="L104" s="329" t="s">
        <v>1342</v>
      </c>
      <c r="M104" s="35" t="s">
        <v>880</v>
      </c>
      <c r="N104" s="35" t="s">
        <v>777</v>
      </c>
      <c r="O104" s="478"/>
      <c r="P104" s="35" t="s">
        <v>880</v>
      </c>
      <c r="Q104" s="35" t="s">
        <v>773</v>
      </c>
      <c r="R104" s="35" t="s">
        <v>1015</v>
      </c>
      <c r="S104" s="70"/>
      <c r="T104" s="72" t="s">
        <v>1344</v>
      </c>
      <c r="U104" s="93"/>
      <c r="V104" s="71"/>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row>
    <row r="105">
      <c r="A105" s="529">
        <v>46160.0</v>
      </c>
      <c r="B105" s="426" t="s">
        <v>323</v>
      </c>
      <c r="C105" s="293" t="s">
        <v>1348</v>
      </c>
      <c r="D105" s="432">
        <v>36000.0</v>
      </c>
      <c r="E105" s="426" t="s">
        <v>1110</v>
      </c>
      <c r="F105" s="293" t="s">
        <v>880</v>
      </c>
      <c r="G105" s="293" t="s">
        <v>880</v>
      </c>
      <c r="H105" s="293" t="s">
        <v>880</v>
      </c>
      <c r="I105" s="293" t="s">
        <v>880</v>
      </c>
      <c r="J105" s="543">
        <f t="shared" si="5"/>
        <v>36000</v>
      </c>
      <c r="K105" s="35" t="s">
        <v>880</v>
      </c>
      <c r="L105" s="337" t="s">
        <v>1352</v>
      </c>
      <c r="M105" s="35" t="s">
        <v>880</v>
      </c>
      <c r="N105" s="35" t="s">
        <v>777</v>
      </c>
      <c r="O105" s="477"/>
      <c r="P105" s="35" t="s">
        <v>880</v>
      </c>
      <c r="Q105" s="35" t="s">
        <v>773</v>
      </c>
      <c r="R105" s="35" t="s">
        <v>1015</v>
      </c>
      <c r="S105" s="388"/>
      <c r="T105" s="72" t="s">
        <v>1344</v>
      </c>
      <c r="U105" s="93"/>
      <c r="V105" s="7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c r="AV105" s="51"/>
      <c r="AW105" s="51"/>
      <c r="AX105" s="51"/>
    </row>
    <row r="106">
      <c r="A106" s="529">
        <v>46161.0</v>
      </c>
      <c r="B106" s="426" t="s">
        <v>1357</v>
      </c>
      <c r="C106" s="293" t="s">
        <v>1358</v>
      </c>
      <c r="D106" s="432">
        <v>30000.0</v>
      </c>
      <c r="E106" s="426" t="s">
        <v>1110</v>
      </c>
      <c r="F106" s="292">
        <v>96000.0</v>
      </c>
      <c r="G106" s="293" t="s">
        <v>880</v>
      </c>
      <c r="H106" s="293" t="s">
        <v>880</v>
      </c>
      <c r="I106" s="293" t="s">
        <v>880</v>
      </c>
      <c r="J106" s="543">
        <f t="shared" si="5"/>
        <v>30000</v>
      </c>
      <c r="K106" s="35" t="s">
        <v>880</v>
      </c>
      <c r="L106" s="337" t="s">
        <v>1359</v>
      </c>
      <c r="M106" s="35" t="s">
        <v>880</v>
      </c>
      <c r="N106" s="35" t="s">
        <v>777</v>
      </c>
      <c r="O106" s="477"/>
      <c r="P106" s="35" t="s">
        <v>880</v>
      </c>
      <c r="Q106" s="35" t="s">
        <v>773</v>
      </c>
      <c r="R106" s="35" t="s">
        <v>1015</v>
      </c>
      <c r="S106" s="388"/>
      <c r="T106" s="72" t="s">
        <v>1344</v>
      </c>
      <c r="U106" s="93"/>
      <c r="V106" s="7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row>
    <row r="107">
      <c r="A107" s="529">
        <v>46164.0</v>
      </c>
      <c r="B107" s="322" t="s">
        <v>387</v>
      </c>
      <c r="C107" s="322" t="s">
        <v>1364</v>
      </c>
      <c r="D107" s="319">
        <v>10000.0</v>
      </c>
      <c r="E107" s="426" t="s">
        <v>1110</v>
      </c>
      <c r="F107" s="292" t="s">
        <v>880</v>
      </c>
      <c r="G107" s="293" t="s">
        <v>880</v>
      </c>
      <c r="H107" s="293" t="s">
        <v>880</v>
      </c>
      <c r="I107" s="293" t="s">
        <v>880</v>
      </c>
      <c r="J107" s="543">
        <f t="shared" si="5"/>
        <v>10000</v>
      </c>
      <c r="K107" s="35" t="s">
        <v>880</v>
      </c>
      <c r="L107" s="329" t="s">
        <v>1365</v>
      </c>
      <c r="M107" s="35" t="s">
        <v>880</v>
      </c>
      <c r="N107" s="35" t="s">
        <v>777</v>
      </c>
      <c r="O107" s="469"/>
      <c r="P107" s="35" t="s">
        <v>880</v>
      </c>
      <c r="Q107" s="35" t="s">
        <v>773</v>
      </c>
      <c r="R107" s="35" t="s">
        <v>1015</v>
      </c>
      <c r="S107" s="127"/>
      <c r="T107" s="72" t="s">
        <v>1344</v>
      </c>
      <c r="U107" s="127"/>
      <c r="V107" s="96"/>
    </row>
    <row r="108">
      <c r="A108" s="529">
        <v>46177.0</v>
      </c>
      <c r="B108" s="322" t="s">
        <v>1368</v>
      </c>
      <c r="C108" s="548" t="s">
        <v>1369</v>
      </c>
      <c r="D108" s="319">
        <v>0.0</v>
      </c>
      <c r="E108" s="426" t="s">
        <v>1110</v>
      </c>
      <c r="F108" s="292" t="s">
        <v>880</v>
      </c>
      <c r="G108" s="293" t="s">
        <v>880</v>
      </c>
      <c r="H108" s="293" t="s">
        <v>880</v>
      </c>
      <c r="I108" s="293" t="s">
        <v>880</v>
      </c>
      <c r="J108" s="543">
        <f t="shared" si="5"/>
        <v>0</v>
      </c>
      <c r="K108" s="35" t="s">
        <v>880</v>
      </c>
      <c r="L108" s="448" t="s">
        <v>1372</v>
      </c>
      <c r="M108" s="35" t="s">
        <v>880</v>
      </c>
      <c r="N108" s="35" t="s">
        <v>777</v>
      </c>
      <c r="O108" s="477"/>
      <c r="P108" s="35" t="s">
        <v>880</v>
      </c>
      <c r="Q108" s="35" t="s">
        <v>773</v>
      </c>
      <c r="R108" s="35" t="s">
        <v>1015</v>
      </c>
      <c r="S108" s="207"/>
      <c r="T108" s="72" t="s">
        <v>1344</v>
      </c>
      <c r="U108" s="207"/>
    </row>
    <row r="109">
      <c r="A109" s="529">
        <v>46179.0</v>
      </c>
      <c r="B109" s="322" t="s">
        <v>63</v>
      </c>
      <c r="C109" s="322" t="s">
        <v>1376</v>
      </c>
      <c r="D109" s="319">
        <v>20000.0</v>
      </c>
      <c r="E109" s="426" t="s">
        <v>1110</v>
      </c>
      <c r="F109" s="319">
        <v>36000.0</v>
      </c>
      <c r="G109" s="293" t="s">
        <v>880</v>
      </c>
      <c r="H109" s="293" t="s">
        <v>880</v>
      </c>
      <c r="I109" s="293" t="s">
        <v>880</v>
      </c>
      <c r="J109" s="543">
        <f t="shared" si="5"/>
        <v>20000</v>
      </c>
      <c r="K109" s="35" t="s">
        <v>880</v>
      </c>
      <c r="L109" s="478"/>
      <c r="M109" s="35" t="s">
        <v>880</v>
      </c>
      <c r="N109" s="35" t="s">
        <v>777</v>
      </c>
      <c r="O109" s="478"/>
      <c r="P109" s="35" t="s">
        <v>880</v>
      </c>
      <c r="Q109" s="35" t="s">
        <v>773</v>
      </c>
      <c r="R109" s="35" t="s">
        <v>1015</v>
      </c>
      <c r="S109" s="1"/>
      <c r="T109" s="1"/>
      <c r="U109" s="1"/>
    </row>
    <row r="110">
      <c r="A110" s="551">
        <v>46183.0</v>
      </c>
      <c r="B110" s="552" t="s">
        <v>945</v>
      </c>
      <c r="C110" s="553" t="s">
        <v>1380</v>
      </c>
      <c r="D110" s="554">
        <v>0.0</v>
      </c>
      <c r="E110" s="426" t="s">
        <v>1110</v>
      </c>
      <c r="F110" s="292" t="s">
        <v>880</v>
      </c>
      <c r="G110" s="293" t="s">
        <v>880</v>
      </c>
      <c r="H110" s="293" t="s">
        <v>880</v>
      </c>
      <c r="I110" s="293" t="s">
        <v>880</v>
      </c>
      <c r="J110" s="543">
        <f t="shared" si="5"/>
        <v>0</v>
      </c>
      <c r="K110" s="35" t="s">
        <v>880</v>
      </c>
      <c r="L110" s="477"/>
      <c r="M110" s="35" t="s">
        <v>880</v>
      </c>
      <c r="N110" s="35" t="s">
        <v>777</v>
      </c>
      <c r="O110" s="477"/>
      <c r="P110" s="35" t="s">
        <v>880</v>
      </c>
      <c r="Q110" s="35" t="s">
        <v>773</v>
      </c>
      <c r="R110" s="35" t="s">
        <v>1015</v>
      </c>
      <c r="S110" s="388"/>
      <c r="T110" s="388"/>
      <c r="U110" s="388"/>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c r="AV110" s="51"/>
      <c r="AW110" s="51"/>
      <c r="AX110" s="51"/>
    </row>
    <row r="111">
      <c r="A111" s="551">
        <v>46179.0</v>
      </c>
      <c r="B111" s="552" t="s">
        <v>1385</v>
      </c>
      <c r="C111" s="553" t="s">
        <v>1386</v>
      </c>
      <c r="D111" s="554">
        <v>20000.0</v>
      </c>
      <c r="E111" s="426" t="s">
        <v>1110</v>
      </c>
      <c r="F111" s="319">
        <v>36000.0</v>
      </c>
      <c r="G111" s="293" t="s">
        <v>880</v>
      </c>
      <c r="H111" s="293" t="s">
        <v>880</v>
      </c>
      <c r="I111" s="293" t="s">
        <v>880</v>
      </c>
      <c r="J111" s="543">
        <f t="shared" si="5"/>
        <v>20000</v>
      </c>
      <c r="K111" s="35" t="s">
        <v>880</v>
      </c>
      <c r="L111" s="477"/>
      <c r="M111" s="35" t="s">
        <v>880</v>
      </c>
      <c r="N111" s="35" t="s">
        <v>777</v>
      </c>
      <c r="O111" s="477"/>
      <c r="P111" s="35" t="s">
        <v>880</v>
      </c>
      <c r="Q111" s="35" t="s">
        <v>773</v>
      </c>
      <c r="R111" s="35" t="s">
        <v>1015</v>
      </c>
      <c r="S111" s="388"/>
      <c r="T111" s="388"/>
      <c r="U111" s="388"/>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c r="AV111" s="51"/>
      <c r="AW111" s="51"/>
      <c r="AX111" s="51"/>
    </row>
    <row r="112">
      <c r="A112" s="551">
        <v>46180.0</v>
      </c>
      <c r="B112" s="552" t="s">
        <v>81</v>
      </c>
      <c r="C112" s="553" t="s">
        <v>1388</v>
      </c>
      <c r="D112" s="554">
        <v>30000.0</v>
      </c>
      <c r="E112" s="426" t="s">
        <v>1110</v>
      </c>
      <c r="F112" s="292" t="s">
        <v>880</v>
      </c>
      <c r="G112" s="293" t="s">
        <v>880</v>
      </c>
      <c r="H112" s="293" t="s">
        <v>880</v>
      </c>
      <c r="I112" s="293" t="s">
        <v>880</v>
      </c>
      <c r="J112" s="543">
        <f t="shared" si="5"/>
        <v>30000</v>
      </c>
      <c r="K112" s="35" t="s">
        <v>880</v>
      </c>
      <c r="L112" s="337" t="s">
        <v>1389</v>
      </c>
      <c r="M112" s="35" t="s">
        <v>880</v>
      </c>
      <c r="N112" s="35" t="s">
        <v>777</v>
      </c>
      <c r="O112" s="477"/>
      <c r="P112" s="35" t="s">
        <v>880</v>
      </c>
      <c r="Q112" s="35" t="s">
        <v>773</v>
      </c>
      <c r="R112" s="35" t="s">
        <v>1015</v>
      </c>
      <c r="S112" s="557">
        <f>J112+J116+J119+J120+J121+J122+J123+J126+J127+J129</f>
        <v>179600</v>
      </c>
      <c r="T112" s="72" t="s">
        <v>1395</v>
      </c>
      <c r="U112" s="388"/>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c r="AV112" s="51"/>
      <c r="AW112" s="51"/>
      <c r="AX112" s="51"/>
    </row>
    <row r="113">
      <c r="A113" s="551">
        <v>46184.0</v>
      </c>
      <c r="B113" s="552" t="s">
        <v>495</v>
      </c>
      <c r="C113" s="553" t="s">
        <v>1397</v>
      </c>
      <c r="D113" s="554">
        <v>0.0</v>
      </c>
      <c r="E113" s="426" t="s">
        <v>1110</v>
      </c>
      <c r="F113" s="292" t="s">
        <v>880</v>
      </c>
      <c r="G113" s="293" t="s">
        <v>880</v>
      </c>
      <c r="H113" s="293" t="s">
        <v>880</v>
      </c>
      <c r="I113" s="293" t="s">
        <v>880</v>
      </c>
      <c r="J113" s="543">
        <f t="shared" si="5"/>
        <v>0</v>
      </c>
      <c r="K113" s="35" t="s">
        <v>880</v>
      </c>
      <c r="L113" s="477"/>
      <c r="M113" s="35" t="s">
        <v>880</v>
      </c>
      <c r="N113" s="35" t="s">
        <v>777</v>
      </c>
      <c r="O113" s="477"/>
      <c r="P113" s="35" t="s">
        <v>880</v>
      </c>
      <c r="Q113" s="35" t="s">
        <v>773</v>
      </c>
      <c r="R113" s="35" t="s">
        <v>1015</v>
      </c>
      <c r="S113" s="388"/>
      <c r="T113" s="388"/>
      <c r="U113" s="388"/>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c r="AV113" s="51"/>
      <c r="AW113" s="51"/>
      <c r="AX113" s="51"/>
    </row>
    <row r="114">
      <c r="A114" s="551">
        <v>46185.0</v>
      </c>
      <c r="B114" s="552" t="s">
        <v>1400</v>
      </c>
      <c r="C114" s="553" t="s">
        <v>1401</v>
      </c>
      <c r="D114" s="554">
        <v>22000.0</v>
      </c>
      <c r="E114" s="426" t="s">
        <v>1110</v>
      </c>
      <c r="F114" s="292" t="s">
        <v>880</v>
      </c>
      <c r="G114" s="293" t="s">
        <v>880</v>
      </c>
      <c r="H114" s="293" t="s">
        <v>880</v>
      </c>
      <c r="I114" s="293" t="s">
        <v>880</v>
      </c>
      <c r="J114" s="543">
        <f t="shared" si="5"/>
        <v>22000</v>
      </c>
      <c r="K114" s="35" t="s">
        <v>880</v>
      </c>
      <c r="L114" s="477"/>
      <c r="M114" s="35" t="s">
        <v>880</v>
      </c>
      <c r="N114" s="35" t="s">
        <v>777</v>
      </c>
      <c r="O114" s="477"/>
      <c r="P114" s="35" t="s">
        <v>880</v>
      </c>
      <c r="Q114" s="35" t="s">
        <v>773</v>
      </c>
      <c r="R114" s="35" t="s">
        <v>1015</v>
      </c>
      <c r="S114" s="388"/>
      <c r="T114" s="388"/>
      <c r="U114" s="388"/>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c r="AX114" s="51"/>
    </row>
    <row r="115">
      <c r="A115" s="421">
        <v>46185.0</v>
      </c>
      <c r="B115" s="563" t="s">
        <v>1400</v>
      </c>
      <c r="C115" s="563" t="s">
        <v>1401</v>
      </c>
      <c r="D115" s="564">
        <v>0.0</v>
      </c>
      <c r="E115" s="426" t="s">
        <v>1110</v>
      </c>
      <c r="F115" s="292" t="s">
        <v>880</v>
      </c>
      <c r="G115" s="293" t="s">
        <v>880</v>
      </c>
      <c r="H115" s="293" t="s">
        <v>880</v>
      </c>
      <c r="I115" s="293" t="s">
        <v>880</v>
      </c>
      <c r="J115" s="144">
        <f t="shared" si="5"/>
        <v>0</v>
      </c>
      <c r="K115" s="35" t="s">
        <v>880</v>
      </c>
      <c r="L115" s="477"/>
      <c r="M115" s="35" t="s">
        <v>880</v>
      </c>
      <c r="N115" s="35" t="s">
        <v>777</v>
      </c>
      <c r="O115" s="477"/>
      <c r="P115" s="35" t="s">
        <v>880</v>
      </c>
      <c r="Q115" s="35" t="s">
        <v>773</v>
      </c>
      <c r="R115" s="35" t="s">
        <v>1015</v>
      </c>
      <c r="S115" s="207"/>
      <c r="T115" s="207"/>
      <c r="U115" s="207"/>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row>
    <row r="116">
      <c r="A116" s="421">
        <v>46190.0</v>
      </c>
      <c r="B116" s="563" t="s">
        <v>1407</v>
      </c>
      <c r="C116" s="563" t="s">
        <v>1408</v>
      </c>
      <c r="D116" s="564">
        <v>0.0</v>
      </c>
      <c r="E116" s="426" t="s">
        <v>1110</v>
      </c>
      <c r="F116" s="292" t="s">
        <v>880</v>
      </c>
      <c r="G116" s="293" t="s">
        <v>880</v>
      </c>
      <c r="H116" s="293" t="s">
        <v>880</v>
      </c>
      <c r="I116" s="293" t="s">
        <v>880</v>
      </c>
      <c r="J116" s="144">
        <f t="shared" si="5"/>
        <v>0</v>
      </c>
      <c r="K116" s="35" t="s">
        <v>880</v>
      </c>
      <c r="L116" s="337" t="s">
        <v>1409</v>
      </c>
      <c r="M116" s="35" t="s">
        <v>880</v>
      </c>
      <c r="N116" s="35" t="s">
        <v>777</v>
      </c>
      <c r="O116" s="477"/>
      <c r="P116" s="35" t="s">
        <v>880</v>
      </c>
      <c r="Q116" s="35" t="s">
        <v>773</v>
      </c>
      <c r="R116" s="35" t="s">
        <v>1015</v>
      </c>
      <c r="S116" s="207"/>
      <c r="T116" s="72" t="s">
        <v>1395</v>
      </c>
      <c r="U116" s="207"/>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row>
    <row r="117">
      <c r="A117" s="421">
        <v>46193.0</v>
      </c>
      <c r="B117" s="34" t="s">
        <v>1411</v>
      </c>
      <c r="C117" s="34" t="s">
        <v>1412</v>
      </c>
      <c r="D117" s="41">
        <v>22000.0</v>
      </c>
      <c r="E117" s="426" t="s">
        <v>1110</v>
      </c>
      <c r="F117" s="293" t="s">
        <v>880</v>
      </c>
      <c r="G117" s="293" t="s">
        <v>880</v>
      </c>
      <c r="H117" s="293" t="s">
        <v>880</v>
      </c>
      <c r="I117" s="293" t="s">
        <v>880</v>
      </c>
      <c r="J117" s="144">
        <f t="shared" si="5"/>
        <v>22000</v>
      </c>
      <c r="K117" s="35" t="s">
        <v>880</v>
      </c>
      <c r="L117" s="469"/>
      <c r="M117" s="35" t="s">
        <v>880</v>
      </c>
      <c r="N117" s="35" t="s">
        <v>777</v>
      </c>
      <c r="O117" s="477"/>
      <c r="P117" s="35" t="s">
        <v>880</v>
      </c>
      <c r="Q117" s="35" t="s">
        <v>773</v>
      </c>
      <c r="R117" s="35" t="s">
        <v>1015</v>
      </c>
      <c r="S117" s="207"/>
      <c r="T117" s="207"/>
      <c r="U117" s="207"/>
      <c r="V117" s="89"/>
      <c r="W117" s="89"/>
      <c r="X117" s="89"/>
      <c r="Y117" s="89"/>
      <c r="Z117" s="89"/>
      <c r="AA117" s="89"/>
      <c r="AB117" s="89"/>
      <c r="AC117" s="89"/>
      <c r="AD117" s="89"/>
      <c r="AE117" s="89"/>
      <c r="AF117" s="89"/>
      <c r="AG117" s="89"/>
      <c r="AH117" s="89"/>
      <c r="AI117" s="89"/>
      <c r="AJ117" s="89"/>
      <c r="AK117" s="89"/>
      <c r="AL117" s="89"/>
      <c r="AM117" s="89"/>
      <c r="AN117" s="89"/>
      <c r="AO117" s="89"/>
      <c r="AP117" s="89"/>
      <c r="AQ117" s="89"/>
      <c r="AR117" s="89"/>
      <c r="AS117" s="89"/>
      <c r="AT117" s="89"/>
      <c r="AU117" s="89"/>
      <c r="AV117" s="89"/>
      <c r="AW117" s="89"/>
      <c r="AX117" s="89"/>
    </row>
    <row r="118">
      <c r="A118" s="421">
        <v>46194.0</v>
      </c>
      <c r="B118" s="34" t="s">
        <v>1416</v>
      </c>
      <c r="C118" s="34" t="s">
        <v>1417</v>
      </c>
      <c r="D118" s="41">
        <v>20000.0</v>
      </c>
      <c r="E118" s="426" t="s">
        <v>1110</v>
      </c>
      <c r="F118" s="292">
        <v>120000.0</v>
      </c>
      <c r="G118" s="293" t="s">
        <v>880</v>
      </c>
      <c r="H118" s="293" t="s">
        <v>880</v>
      </c>
      <c r="I118" s="293" t="s">
        <v>880</v>
      </c>
      <c r="J118" s="144">
        <f t="shared" si="5"/>
        <v>20000</v>
      </c>
      <c r="K118" s="35"/>
      <c r="L118" s="469"/>
      <c r="M118" s="35" t="s">
        <v>880</v>
      </c>
      <c r="N118" s="35" t="s">
        <v>777</v>
      </c>
      <c r="O118" s="477"/>
      <c r="P118" s="35" t="s">
        <v>880</v>
      </c>
      <c r="Q118" s="35" t="s">
        <v>773</v>
      </c>
      <c r="R118" s="35" t="s">
        <v>1015</v>
      </c>
      <c r="S118" s="207"/>
      <c r="T118" s="207"/>
      <c r="U118" s="207"/>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row>
    <row r="119">
      <c r="A119" s="421">
        <v>46203.0</v>
      </c>
      <c r="B119" s="34" t="s">
        <v>677</v>
      </c>
      <c r="C119" s="34" t="s">
        <v>1421</v>
      </c>
      <c r="D119" s="41">
        <v>20000.0</v>
      </c>
      <c r="E119" s="426" t="s">
        <v>1110</v>
      </c>
      <c r="F119" s="41">
        <v>36000.0</v>
      </c>
      <c r="G119" s="293" t="s">
        <v>880</v>
      </c>
      <c r="H119" s="293" t="s">
        <v>880</v>
      </c>
      <c r="I119" s="293" t="s">
        <v>880</v>
      </c>
      <c r="J119" s="144">
        <f t="shared" si="5"/>
        <v>20000</v>
      </c>
      <c r="K119" s="35"/>
      <c r="L119" s="329" t="s">
        <v>1422</v>
      </c>
      <c r="M119" s="35" t="s">
        <v>880</v>
      </c>
      <c r="N119" s="35" t="s">
        <v>777</v>
      </c>
      <c r="O119" s="35" t="s">
        <v>1044</v>
      </c>
      <c r="P119" s="35" t="s">
        <v>880</v>
      </c>
      <c r="Q119" s="35" t="s">
        <v>773</v>
      </c>
      <c r="R119" s="35" t="s">
        <v>1015</v>
      </c>
      <c r="S119" s="207"/>
      <c r="T119" s="72" t="s">
        <v>1395</v>
      </c>
      <c r="U119" s="1"/>
    </row>
    <row r="120">
      <c r="A120" s="421">
        <v>46206.0</v>
      </c>
      <c r="B120" s="34" t="s">
        <v>705</v>
      </c>
      <c r="C120" s="34" t="s">
        <v>1424</v>
      </c>
      <c r="D120" s="41">
        <v>16000.0</v>
      </c>
      <c r="E120" s="426" t="s">
        <v>1110</v>
      </c>
      <c r="F120" s="41">
        <v>210000.0</v>
      </c>
      <c r="G120" s="293" t="s">
        <v>880</v>
      </c>
      <c r="H120" s="293" t="s">
        <v>880</v>
      </c>
      <c r="I120" s="293" t="s">
        <v>880</v>
      </c>
      <c r="J120" s="144">
        <f t="shared" si="5"/>
        <v>16000</v>
      </c>
      <c r="K120" s="72" t="s">
        <v>1425</v>
      </c>
      <c r="L120" s="395" t="s">
        <v>1427</v>
      </c>
      <c r="M120" s="35" t="s">
        <v>880</v>
      </c>
      <c r="N120" s="35" t="s">
        <v>777</v>
      </c>
      <c r="O120" s="35" t="s">
        <v>1044</v>
      </c>
      <c r="P120" s="35" t="s">
        <v>880</v>
      </c>
      <c r="Q120" s="35" t="s">
        <v>773</v>
      </c>
      <c r="R120" s="35" t="s">
        <v>1015</v>
      </c>
      <c r="S120" s="207"/>
      <c r="T120" s="72" t="s">
        <v>1395</v>
      </c>
      <c r="U120" s="1"/>
      <c r="V120" s="89"/>
      <c r="W120" s="89"/>
      <c r="X120" s="89"/>
      <c r="Y120" s="89"/>
      <c r="Z120" s="89"/>
      <c r="AA120" s="89"/>
      <c r="AB120" s="89"/>
      <c r="AC120" s="89"/>
      <c r="AD120" s="89"/>
      <c r="AE120" s="89"/>
      <c r="AF120" s="89"/>
      <c r="AG120" s="89"/>
      <c r="AH120" s="89"/>
      <c r="AI120" s="89"/>
      <c r="AJ120" s="89"/>
      <c r="AK120" s="89"/>
      <c r="AL120" s="89"/>
      <c r="AM120" s="89"/>
      <c r="AN120" s="89"/>
      <c r="AO120" s="89"/>
      <c r="AP120" s="89"/>
      <c r="AQ120" s="89"/>
      <c r="AR120" s="89"/>
      <c r="AS120" s="89"/>
      <c r="AT120" s="89"/>
      <c r="AU120" s="89"/>
      <c r="AV120" s="89"/>
      <c r="AW120" s="89"/>
      <c r="AX120" s="89"/>
    </row>
    <row r="121">
      <c r="A121" s="421">
        <v>46209.0</v>
      </c>
      <c r="B121" s="34" t="s">
        <v>742</v>
      </c>
      <c r="C121" s="34" t="s">
        <v>1431</v>
      </c>
      <c r="D121" s="41">
        <v>10000.0</v>
      </c>
      <c r="E121" s="426" t="s">
        <v>1110</v>
      </c>
      <c r="F121" s="293" t="s">
        <v>880</v>
      </c>
      <c r="G121" s="293" t="s">
        <v>880</v>
      </c>
      <c r="H121" s="292">
        <v>3600.0</v>
      </c>
      <c r="I121" s="293" t="s">
        <v>880</v>
      </c>
      <c r="J121" s="144">
        <f>D121+H121</f>
        <v>13600</v>
      </c>
      <c r="K121" s="35" t="s">
        <v>880</v>
      </c>
      <c r="L121" s="395" t="s">
        <v>1433</v>
      </c>
      <c r="M121" s="35" t="s">
        <v>880</v>
      </c>
      <c r="N121" s="35" t="s">
        <v>777</v>
      </c>
      <c r="O121" s="35" t="s">
        <v>776</v>
      </c>
      <c r="P121" s="35" t="s">
        <v>880</v>
      </c>
      <c r="Q121" s="35" t="s">
        <v>773</v>
      </c>
      <c r="R121" s="35" t="s">
        <v>1015</v>
      </c>
      <c r="S121" s="127"/>
      <c r="T121" s="72" t="s">
        <v>1395</v>
      </c>
      <c r="U121" s="127"/>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row>
    <row r="122">
      <c r="A122" s="421">
        <v>46213.0</v>
      </c>
      <c r="B122" s="34" t="s">
        <v>1436</v>
      </c>
      <c r="C122" s="34" t="s">
        <v>1438</v>
      </c>
      <c r="D122" s="41">
        <v>20000.0</v>
      </c>
      <c r="E122" s="426" t="s">
        <v>1110</v>
      </c>
      <c r="F122" s="293" t="s">
        <v>880</v>
      </c>
      <c r="G122" s="293" t="s">
        <v>880</v>
      </c>
      <c r="H122" s="293" t="s">
        <v>880</v>
      </c>
      <c r="I122" s="293" t="s">
        <v>880</v>
      </c>
      <c r="J122" s="144">
        <f t="shared" ref="J122:J124" si="6">D122</f>
        <v>20000</v>
      </c>
      <c r="K122" s="35" t="s">
        <v>880</v>
      </c>
      <c r="L122" s="395" t="s">
        <v>1441</v>
      </c>
      <c r="M122" s="35" t="s">
        <v>880</v>
      </c>
      <c r="N122" s="35" t="s">
        <v>777</v>
      </c>
      <c r="O122" s="35" t="s">
        <v>776</v>
      </c>
      <c r="P122" s="35" t="s">
        <v>880</v>
      </c>
      <c r="Q122" s="35" t="s">
        <v>773</v>
      </c>
      <c r="R122" s="35" t="s">
        <v>1015</v>
      </c>
      <c r="S122" s="127"/>
      <c r="T122" s="72" t="s">
        <v>1395</v>
      </c>
      <c r="U122" s="127"/>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row>
    <row r="123">
      <c r="A123" s="421">
        <v>46217.0</v>
      </c>
      <c r="B123" s="34" t="s">
        <v>758</v>
      </c>
      <c r="C123" s="34" t="s">
        <v>1444</v>
      </c>
      <c r="D123" s="41">
        <v>20000.0</v>
      </c>
      <c r="E123" s="426" t="s">
        <v>1110</v>
      </c>
      <c r="F123" s="292">
        <v>36000.0</v>
      </c>
      <c r="G123" s="293" t="s">
        <v>880</v>
      </c>
      <c r="H123" s="293" t="s">
        <v>880</v>
      </c>
      <c r="I123" s="293" t="s">
        <v>880</v>
      </c>
      <c r="J123" s="144">
        <f t="shared" si="6"/>
        <v>20000</v>
      </c>
      <c r="K123" s="207"/>
      <c r="L123" s="448" t="s">
        <v>1445</v>
      </c>
      <c r="M123" s="35" t="s">
        <v>880</v>
      </c>
      <c r="N123" s="35" t="s">
        <v>777</v>
      </c>
      <c r="O123" s="34" t="s">
        <v>1335</v>
      </c>
      <c r="P123" s="35" t="s">
        <v>880</v>
      </c>
      <c r="Q123" s="35" t="s">
        <v>773</v>
      </c>
      <c r="R123" s="35" t="s">
        <v>1015</v>
      </c>
      <c r="S123" s="207"/>
      <c r="T123" s="72" t="s">
        <v>1395</v>
      </c>
      <c r="U123" s="207"/>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row>
    <row r="124">
      <c r="A124" s="421">
        <v>46222.0</v>
      </c>
      <c r="B124" s="77" t="s">
        <v>1448</v>
      </c>
      <c r="C124" s="34" t="s">
        <v>1449</v>
      </c>
      <c r="D124" s="41">
        <v>30000.0</v>
      </c>
      <c r="E124" s="426" t="s">
        <v>1110</v>
      </c>
      <c r="F124" s="293" t="s">
        <v>880</v>
      </c>
      <c r="G124" s="293" t="s">
        <v>880</v>
      </c>
      <c r="H124" s="293" t="s">
        <v>880</v>
      </c>
      <c r="I124" s="293" t="s">
        <v>880</v>
      </c>
      <c r="J124" s="144">
        <f t="shared" si="6"/>
        <v>30000</v>
      </c>
      <c r="K124" s="35" t="s">
        <v>880</v>
      </c>
      <c r="L124" s="477"/>
      <c r="M124" s="35" t="s">
        <v>880</v>
      </c>
      <c r="N124" s="35" t="s">
        <v>777</v>
      </c>
      <c r="O124" s="477"/>
      <c r="P124" s="35" t="s">
        <v>880</v>
      </c>
      <c r="Q124" s="35" t="s">
        <v>773</v>
      </c>
      <c r="R124" s="35" t="s">
        <v>1015</v>
      </c>
      <c r="S124" s="207"/>
      <c r="T124" s="207"/>
      <c r="U124" s="207"/>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row>
    <row r="125">
      <c r="A125" s="421">
        <v>46223.0</v>
      </c>
      <c r="B125" s="77" t="s">
        <v>1455</v>
      </c>
      <c r="C125" s="34" t="s">
        <v>1456</v>
      </c>
      <c r="D125" s="41">
        <v>10000.0</v>
      </c>
      <c r="E125" s="426" t="s">
        <v>1110</v>
      </c>
      <c r="F125" s="293" t="s">
        <v>880</v>
      </c>
      <c r="G125" s="293" t="s">
        <v>880</v>
      </c>
      <c r="H125" s="292">
        <v>3900.0</v>
      </c>
      <c r="I125" s="293" t="s">
        <v>880</v>
      </c>
      <c r="J125" s="144">
        <f>D125+H125</f>
        <v>13900</v>
      </c>
      <c r="K125" s="35" t="s">
        <v>880</v>
      </c>
      <c r="L125" s="477"/>
      <c r="M125" s="35" t="s">
        <v>880</v>
      </c>
      <c r="N125" s="35" t="s">
        <v>777</v>
      </c>
      <c r="O125" s="477"/>
      <c r="P125" s="35" t="s">
        <v>880</v>
      </c>
      <c r="Q125" s="35" t="s">
        <v>773</v>
      </c>
      <c r="R125" s="35" t="s">
        <v>1015</v>
      </c>
      <c r="S125" s="207"/>
      <c r="T125" s="207"/>
      <c r="U125" s="207"/>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row>
    <row r="126">
      <c r="A126" s="421">
        <v>46224.0</v>
      </c>
      <c r="B126" s="77" t="s">
        <v>1458</v>
      </c>
      <c r="C126" s="34" t="s">
        <v>1459</v>
      </c>
      <c r="D126" s="41">
        <v>30000.0</v>
      </c>
      <c r="E126" s="426" t="s">
        <v>1110</v>
      </c>
      <c r="F126" s="41">
        <v>30000.0</v>
      </c>
      <c r="G126" s="293" t="s">
        <v>880</v>
      </c>
      <c r="H126" s="293" t="s">
        <v>880</v>
      </c>
      <c r="I126" s="293" t="s">
        <v>880</v>
      </c>
      <c r="J126" s="144">
        <f t="shared" ref="J126:J130" si="7">D126</f>
        <v>30000</v>
      </c>
      <c r="K126" s="35"/>
      <c r="L126" s="415" t="s">
        <v>1461</v>
      </c>
      <c r="M126" s="35" t="s">
        <v>880</v>
      </c>
      <c r="N126" s="35" t="s">
        <v>777</v>
      </c>
      <c r="O126" s="34" t="s">
        <v>1335</v>
      </c>
      <c r="P126" s="35" t="s">
        <v>880</v>
      </c>
      <c r="Q126" s="35" t="s">
        <v>773</v>
      </c>
      <c r="R126" s="35" t="s">
        <v>1015</v>
      </c>
      <c r="S126" s="207"/>
      <c r="T126" s="72" t="s">
        <v>1395</v>
      </c>
      <c r="U126" s="207"/>
    </row>
    <row r="127">
      <c r="A127" s="421">
        <v>46229.0</v>
      </c>
      <c r="B127" s="34" t="s">
        <v>846</v>
      </c>
      <c r="C127" s="34" t="s">
        <v>1464</v>
      </c>
      <c r="D127" s="41">
        <v>20000.0</v>
      </c>
      <c r="E127" s="426" t="s">
        <v>1110</v>
      </c>
      <c r="F127" s="41">
        <v>36000.0</v>
      </c>
      <c r="G127" s="293" t="s">
        <v>880</v>
      </c>
      <c r="H127" s="293" t="s">
        <v>880</v>
      </c>
      <c r="I127" s="293" t="s">
        <v>880</v>
      </c>
      <c r="J127" s="144">
        <f t="shared" si="7"/>
        <v>20000</v>
      </c>
      <c r="K127" s="35"/>
      <c r="L127" s="395" t="s">
        <v>1465</v>
      </c>
      <c r="M127" s="35" t="s">
        <v>880</v>
      </c>
      <c r="N127" s="35" t="s">
        <v>777</v>
      </c>
      <c r="O127" s="34" t="s">
        <v>1033</v>
      </c>
      <c r="P127" s="35" t="s">
        <v>880</v>
      </c>
      <c r="Q127" s="35" t="s">
        <v>773</v>
      </c>
      <c r="R127" s="35" t="s">
        <v>1015</v>
      </c>
      <c r="S127" s="207"/>
      <c r="T127" s="72" t="s">
        <v>1395</v>
      </c>
      <c r="U127" s="207"/>
    </row>
    <row r="128">
      <c r="A128" s="421">
        <v>46232.0</v>
      </c>
      <c r="B128" s="34" t="s">
        <v>1466</v>
      </c>
      <c r="C128" s="34" t="s">
        <v>1467</v>
      </c>
      <c r="D128" s="41">
        <v>20000.0</v>
      </c>
      <c r="E128" s="426" t="s">
        <v>1110</v>
      </c>
      <c r="F128" s="41">
        <v>20000.0</v>
      </c>
      <c r="G128" s="293" t="s">
        <v>880</v>
      </c>
      <c r="H128" s="293" t="s">
        <v>880</v>
      </c>
      <c r="I128" s="293" t="s">
        <v>880</v>
      </c>
      <c r="J128" s="144">
        <f t="shared" si="7"/>
        <v>20000</v>
      </c>
      <c r="K128" s="127"/>
      <c r="L128" s="469"/>
      <c r="M128" s="35" t="s">
        <v>880</v>
      </c>
      <c r="N128" s="35" t="s">
        <v>777</v>
      </c>
      <c r="O128" s="469"/>
      <c r="P128" s="127"/>
      <c r="Q128" s="127"/>
      <c r="R128" s="35" t="s">
        <v>1015</v>
      </c>
      <c r="S128" s="127"/>
      <c r="T128" s="127"/>
      <c r="U128" s="127"/>
    </row>
    <row r="129">
      <c r="A129" s="421">
        <v>46233.0</v>
      </c>
      <c r="B129" s="34" t="s">
        <v>465</v>
      </c>
      <c r="C129" s="34" t="s">
        <v>1468</v>
      </c>
      <c r="D129" s="41">
        <v>10000.0</v>
      </c>
      <c r="E129" s="426" t="s">
        <v>1110</v>
      </c>
      <c r="F129" s="41">
        <v>18000.0</v>
      </c>
      <c r="G129" s="293" t="s">
        <v>880</v>
      </c>
      <c r="H129" s="293" t="s">
        <v>880</v>
      </c>
      <c r="I129" s="293" t="s">
        <v>880</v>
      </c>
      <c r="J129" s="144">
        <f t="shared" si="7"/>
        <v>10000</v>
      </c>
      <c r="K129" s="207"/>
      <c r="L129" s="448" t="s">
        <v>1470</v>
      </c>
      <c r="M129" s="35" t="s">
        <v>880</v>
      </c>
      <c r="N129" s="35" t="s">
        <v>777</v>
      </c>
      <c r="O129" s="34" t="s">
        <v>1335</v>
      </c>
      <c r="P129" s="35" t="s">
        <v>880</v>
      </c>
      <c r="Q129" s="35" t="s">
        <v>773</v>
      </c>
      <c r="R129" s="35" t="s">
        <v>1015</v>
      </c>
      <c r="S129" s="207"/>
      <c r="T129" s="72" t="s">
        <v>1395</v>
      </c>
      <c r="U129" s="207"/>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row>
    <row r="130">
      <c r="A130" s="421">
        <v>46234.0</v>
      </c>
      <c r="B130" s="34" t="s">
        <v>1472</v>
      </c>
      <c r="C130" s="34" t="s">
        <v>1473</v>
      </c>
      <c r="D130" s="41">
        <v>27000.0</v>
      </c>
      <c r="E130" s="426" t="s">
        <v>1110</v>
      </c>
      <c r="F130" s="41">
        <v>12000.0</v>
      </c>
      <c r="G130" s="293" t="s">
        <v>880</v>
      </c>
      <c r="H130" s="293" t="s">
        <v>880</v>
      </c>
      <c r="I130" s="293" t="s">
        <v>880</v>
      </c>
      <c r="J130" s="144">
        <f t="shared" si="7"/>
        <v>27000</v>
      </c>
      <c r="K130" s="207"/>
      <c r="L130" s="477"/>
      <c r="M130" s="35" t="s">
        <v>880</v>
      </c>
      <c r="N130" s="35" t="s">
        <v>777</v>
      </c>
      <c r="O130" s="477"/>
      <c r="P130" s="207"/>
      <c r="Q130" s="207"/>
      <c r="R130" s="35" t="s">
        <v>1015</v>
      </c>
      <c r="S130" s="207"/>
      <c r="T130" s="207"/>
      <c r="U130" s="207"/>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row>
    <row r="134">
      <c r="B134" s="360" t="s">
        <v>1123</v>
      </c>
      <c r="C134" s="4"/>
      <c r="D134" s="4"/>
      <c r="E134" s="4"/>
      <c r="F134" s="4"/>
      <c r="G134" s="4"/>
      <c r="H134" s="4"/>
      <c r="I134" s="4"/>
      <c r="J134" s="4"/>
      <c r="K134" s="4"/>
      <c r="L134" s="4"/>
      <c r="M134" s="4"/>
      <c r="N134" s="4"/>
      <c r="O134" s="4"/>
      <c r="P134" s="4"/>
      <c r="Q134" s="4"/>
      <c r="R134" s="4"/>
      <c r="S134" s="4"/>
      <c r="T134" s="4"/>
      <c r="U134" s="6"/>
    </row>
    <row r="135">
      <c r="A135" s="306" t="s">
        <v>10</v>
      </c>
      <c r="B135" s="308" t="s">
        <v>13</v>
      </c>
      <c r="C135" s="311" t="s">
        <v>11</v>
      </c>
      <c r="D135" s="312" t="s">
        <v>693</v>
      </c>
      <c r="E135" s="313" t="s">
        <v>15</v>
      </c>
      <c r="F135" s="308" t="s">
        <v>698</v>
      </c>
      <c r="G135" s="308" t="s">
        <v>911</v>
      </c>
      <c r="H135" s="308" t="s">
        <v>700</v>
      </c>
      <c r="I135" s="308" t="s">
        <v>701</v>
      </c>
      <c r="J135" s="308" t="s">
        <v>704</v>
      </c>
      <c r="K135" s="308" t="s">
        <v>706</v>
      </c>
      <c r="L135" s="308" t="s">
        <v>707</v>
      </c>
      <c r="M135" s="308" t="s">
        <v>709</v>
      </c>
      <c r="N135" s="308" t="s">
        <v>710</v>
      </c>
      <c r="O135" s="308" t="s">
        <v>711</v>
      </c>
      <c r="P135" s="308" t="s">
        <v>712</v>
      </c>
      <c r="Q135" s="308" t="s">
        <v>714</v>
      </c>
      <c r="R135" s="308" t="s">
        <v>717</v>
      </c>
      <c r="S135" s="308" t="s">
        <v>719</v>
      </c>
      <c r="T135" s="308" t="s">
        <v>721</v>
      </c>
      <c r="U135" s="127"/>
    </row>
    <row r="136">
      <c r="A136" s="33">
        <v>46163.0</v>
      </c>
      <c r="B136" s="101" t="s">
        <v>1476</v>
      </c>
      <c r="C136" s="440" t="s">
        <v>1477</v>
      </c>
      <c r="D136" s="37">
        <v>170000.0</v>
      </c>
      <c r="E136" s="329" t="s">
        <v>1479</v>
      </c>
      <c r="F136" s="42">
        <v>90000.0</v>
      </c>
      <c r="G136" s="293" t="s">
        <v>880</v>
      </c>
      <c r="H136" s="293" t="s">
        <v>880</v>
      </c>
      <c r="I136" s="293" t="s">
        <v>880</v>
      </c>
      <c r="J136" s="461">
        <f t="shared" ref="J136:J137" si="8">D136</f>
        <v>170000</v>
      </c>
      <c r="K136" s="329" t="s">
        <v>1479</v>
      </c>
      <c r="L136" s="329" t="s">
        <v>1481</v>
      </c>
      <c r="M136" s="35" t="s">
        <v>773</v>
      </c>
      <c r="N136" s="35" t="s">
        <v>773</v>
      </c>
      <c r="O136" s="35" t="s">
        <v>1335</v>
      </c>
      <c r="P136" s="35" t="s">
        <v>773</v>
      </c>
      <c r="Q136" s="35" t="s">
        <v>773</v>
      </c>
      <c r="R136" s="35">
        <v>8.0</v>
      </c>
      <c r="S136" s="93"/>
      <c r="T136" s="35">
        <v>3.0052026E7</v>
      </c>
      <c r="U136" s="93"/>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row>
    <row r="137">
      <c r="A137" s="33">
        <v>46188.0</v>
      </c>
      <c r="B137" s="110" t="s">
        <v>643</v>
      </c>
      <c r="C137" s="110" t="s">
        <v>1484</v>
      </c>
      <c r="D137" s="244">
        <v>207000.0</v>
      </c>
      <c r="E137" s="387" t="s">
        <v>1485</v>
      </c>
      <c r="F137" s="244">
        <v>84000.0</v>
      </c>
      <c r="G137" s="293" t="s">
        <v>880</v>
      </c>
      <c r="H137" s="293" t="s">
        <v>880</v>
      </c>
      <c r="I137" s="293" t="s">
        <v>880</v>
      </c>
      <c r="J137" s="400">
        <f t="shared" si="8"/>
        <v>207000</v>
      </c>
      <c r="K137" s="387" t="s">
        <v>1485</v>
      </c>
      <c r="L137" s="387" t="s">
        <v>1488</v>
      </c>
      <c r="M137" s="35" t="s">
        <v>773</v>
      </c>
      <c r="N137" s="35" t="s">
        <v>773</v>
      </c>
      <c r="O137" s="35" t="s">
        <v>776</v>
      </c>
      <c r="P137" s="35" t="s">
        <v>773</v>
      </c>
      <c r="Q137" s="35" t="s">
        <v>773</v>
      </c>
      <c r="R137" s="35" t="s">
        <v>1015</v>
      </c>
      <c r="S137" s="93"/>
      <c r="T137" s="35"/>
      <c r="U137" s="1"/>
    </row>
    <row r="138">
      <c r="A138" s="33">
        <v>46199.0</v>
      </c>
      <c r="B138" s="77" t="s">
        <v>1491</v>
      </c>
      <c r="C138" s="34" t="s">
        <v>1492</v>
      </c>
      <c r="D138" s="41">
        <v>195000.0</v>
      </c>
      <c r="E138" s="395" t="s">
        <v>1493</v>
      </c>
      <c r="F138" s="41">
        <v>120000.0</v>
      </c>
      <c r="G138" s="293" t="s">
        <v>880</v>
      </c>
      <c r="H138" s="293" t="s">
        <v>880</v>
      </c>
      <c r="I138" s="293" t="s">
        <v>880</v>
      </c>
      <c r="J138" s="41">
        <v>195000.0</v>
      </c>
      <c r="K138" s="395" t="s">
        <v>1496</v>
      </c>
      <c r="L138" s="494" t="s">
        <v>1498</v>
      </c>
      <c r="M138" s="35" t="s">
        <v>773</v>
      </c>
      <c r="N138" s="35" t="s">
        <v>773</v>
      </c>
      <c r="O138" s="35" t="s">
        <v>776</v>
      </c>
      <c r="P138" s="35" t="s">
        <v>773</v>
      </c>
      <c r="Q138" s="35" t="s">
        <v>773</v>
      </c>
      <c r="R138" s="35" t="s">
        <v>1015</v>
      </c>
      <c r="S138" s="127"/>
      <c r="T138" s="587"/>
      <c r="U138" s="127"/>
      <c r="V138" s="89"/>
      <c r="W138" s="89"/>
      <c r="X138" s="89"/>
      <c r="Y138" s="89"/>
      <c r="Z138" s="89"/>
      <c r="AA138" s="89"/>
      <c r="AB138" s="89"/>
      <c r="AC138" s="89"/>
      <c r="AD138" s="89"/>
      <c r="AE138" s="89"/>
      <c r="AF138" s="89"/>
      <c r="AG138" s="89"/>
      <c r="AH138" s="89"/>
      <c r="AI138" s="89"/>
      <c r="AJ138" s="89"/>
      <c r="AK138" s="89"/>
      <c r="AL138" s="89"/>
      <c r="AM138" s="89"/>
      <c r="AN138" s="89"/>
      <c r="AO138" s="89"/>
      <c r="AP138" s="89"/>
      <c r="AQ138" s="89"/>
      <c r="AR138" s="89"/>
      <c r="AS138" s="89"/>
      <c r="AT138" s="89"/>
      <c r="AU138" s="89"/>
      <c r="AV138" s="89"/>
      <c r="AW138" s="89"/>
      <c r="AX138" s="89"/>
    </row>
    <row r="139">
      <c r="A139" s="33">
        <v>46220.0</v>
      </c>
      <c r="B139" s="153" t="s">
        <v>1499</v>
      </c>
      <c r="C139" s="443" t="s">
        <v>1500</v>
      </c>
      <c r="D139" s="41">
        <v>194500.0</v>
      </c>
      <c r="E139" s="448" t="s">
        <v>1501</v>
      </c>
      <c r="F139" s="34" t="s">
        <v>880</v>
      </c>
      <c r="G139" s="34" t="s">
        <v>880</v>
      </c>
      <c r="H139" s="34" t="s">
        <v>880</v>
      </c>
      <c r="I139" s="34" t="s">
        <v>880</v>
      </c>
      <c r="J139" s="41">
        <f>D139</f>
        <v>194500</v>
      </c>
      <c r="K139" s="34" t="s">
        <v>880</v>
      </c>
      <c r="L139" s="448" t="s">
        <v>1503</v>
      </c>
      <c r="M139" s="34" t="s">
        <v>880</v>
      </c>
      <c r="N139" s="34" t="s">
        <v>773</v>
      </c>
      <c r="O139" s="34" t="s">
        <v>1335</v>
      </c>
      <c r="P139" s="35" t="s">
        <v>773</v>
      </c>
      <c r="Q139" s="35" t="s">
        <v>773</v>
      </c>
      <c r="R139" s="35" t="s">
        <v>1015</v>
      </c>
      <c r="S139" s="207"/>
      <c r="T139" s="261">
        <v>46222.0</v>
      </c>
      <c r="U139" s="207"/>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row>
    <row r="144">
      <c r="B144" s="360" t="s">
        <v>1144</v>
      </c>
      <c r="C144" s="4"/>
      <c r="D144" s="4"/>
      <c r="E144" s="4"/>
      <c r="F144" s="4"/>
      <c r="G144" s="4"/>
      <c r="H144" s="4"/>
      <c r="I144" s="4"/>
      <c r="J144" s="4"/>
      <c r="K144" s="4"/>
      <c r="L144" s="4"/>
      <c r="M144" s="4"/>
      <c r="N144" s="4"/>
      <c r="O144" s="4"/>
      <c r="P144" s="4"/>
      <c r="Q144" s="4"/>
      <c r="R144" s="4"/>
      <c r="S144" s="4"/>
      <c r="T144" s="6"/>
    </row>
    <row r="145">
      <c r="A145" s="306" t="s">
        <v>10</v>
      </c>
      <c r="B145" s="308" t="s">
        <v>13</v>
      </c>
      <c r="C145" s="311" t="s">
        <v>11</v>
      </c>
      <c r="D145" s="312" t="s">
        <v>693</v>
      </c>
      <c r="E145" s="313" t="s">
        <v>15</v>
      </c>
      <c r="F145" s="308" t="s">
        <v>698</v>
      </c>
      <c r="G145" s="308" t="s">
        <v>911</v>
      </c>
      <c r="H145" s="308" t="s">
        <v>700</v>
      </c>
      <c r="I145" s="308" t="s">
        <v>701</v>
      </c>
      <c r="J145" s="308" t="s">
        <v>704</v>
      </c>
      <c r="K145" s="308" t="s">
        <v>706</v>
      </c>
      <c r="L145" s="308" t="s">
        <v>707</v>
      </c>
      <c r="M145" s="308" t="s">
        <v>709</v>
      </c>
      <c r="N145" s="308" t="s">
        <v>710</v>
      </c>
      <c r="O145" s="308" t="s">
        <v>711</v>
      </c>
      <c r="P145" s="308" t="s">
        <v>712</v>
      </c>
      <c r="Q145" s="308" t="s">
        <v>714</v>
      </c>
      <c r="R145" s="308" t="s">
        <v>717</v>
      </c>
      <c r="S145" s="308" t="s">
        <v>719</v>
      </c>
      <c r="T145" s="308" t="s">
        <v>721</v>
      </c>
    </row>
    <row r="146">
      <c r="A146" s="32">
        <v>46171.0</v>
      </c>
      <c r="B146" s="590" t="s">
        <v>472</v>
      </c>
      <c r="C146" s="590" t="s">
        <v>1506</v>
      </c>
      <c r="D146" s="41">
        <v>166400.0</v>
      </c>
      <c r="E146" s="395" t="s">
        <v>1507</v>
      </c>
      <c r="F146" s="34" t="s">
        <v>880</v>
      </c>
      <c r="G146" s="34" t="s">
        <v>880</v>
      </c>
      <c r="H146" s="34" t="s">
        <v>880</v>
      </c>
      <c r="I146" s="34" t="s">
        <v>880</v>
      </c>
      <c r="J146" s="592">
        <f t="shared" ref="J146:J147" si="9">D146</f>
        <v>166400</v>
      </c>
      <c r="K146" s="34" t="s">
        <v>880</v>
      </c>
      <c r="L146" s="494" t="s">
        <v>1510</v>
      </c>
      <c r="M146" s="34" t="s">
        <v>880</v>
      </c>
      <c r="N146" s="34" t="s">
        <v>773</v>
      </c>
      <c r="O146" s="34" t="s">
        <v>1187</v>
      </c>
      <c r="P146" s="34" t="s">
        <v>773</v>
      </c>
      <c r="Q146" s="34" t="s">
        <v>773</v>
      </c>
      <c r="R146" s="34" t="s">
        <v>1015</v>
      </c>
      <c r="S146" s="127"/>
      <c r="T146" s="32">
        <v>46183.0</v>
      </c>
      <c r="U146" s="89"/>
      <c r="V146" s="89"/>
      <c r="W146" s="89"/>
      <c r="X146" s="89"/>
      <c r="Y146" s="89"/>
      <c r="Z146" s="89"/>
      <c r="AA146" s="89"/>
      <c r="AB146" s="89"/>
      <c r="AC146" s="89"/>
      <c r="AD146" s="89"/>
      <c r="AE146" s="89"/>
      <c r="AF146" s="89"/>
      <c r="AG146" s="89"/>
      <c r="AH146" s="89"/>
      <c r="AI146" s="89"/>
      <c r="AJ146" s="89"/>
      <c r="AK146" s="89"/>
      <c r="AL146" s="89"/>
      <c r="AM146" s="89"/>
      <c r="AN146" s="89"/>
      <c r="AO146" s="89"/>
      <c r="AP146" s="89"/>
      <c r="AQ146" s="89"/>
      <c r="AR146" s="89"/>
      <c r="AS146" s="89"/>
      <c r="AT146" s="89"/>
      <c r="AU146" s="89"/>
      <c r="AV146" s="89"/>
      <c r="AW146" s="89"/>
      <c r="AX146" s="89"/>
    </row>
    <row r="147">
      <c r="A147" s="32">
        <v>46206.0</v>
      </c>
      <c r="B147" s="110" t="s">
        <v>682</v>
      </c>
      <c r="C147" s="110" t="s">
        <v>1511</v>
      </c>
      <c r="D147" s="244">
        <v>185000.0</v>
      </c>
      <c r="E147" s="415" t="s">
        <v>1512</v>
      </c>
      <c r="F147" s="244">
        <v>120000.0</v>
      </c>
      <c r="G147" s="34" t="s">
        <v>880</v>
      </c>
      <c r="H147" s="34" t="s">
        <v>880</v>
      </c>
      <c r="I147" s="34" t="s">
        <v>880</v>
      </c>
      <c r="J147" s="144">
        <f t="shared" si="9"/>
        <v>185000</v>
      </c>
      <c r="K147" s="415" t="s">
        <v>1515</v>
      </c>
      <c r="L147" s="415" t="s">
        <v>1516</v>
      </c>
      <c r="M147" s="34" t="s">
        <v>880</v>
      </c>
      <c r="N147" s="34" t="s">
        <v>773</v>
      </c>
      <c r="O147" s="110" t="s">
        <v>1187</v>
      </c>
      <c r="P147" s="34" t="s">
        <v>773</v>
      </c>
      <c r="Q147" s="34" t="s">
        <v>773</v>
      </c>
      <c r="R147" s="34" t="s">
        <v>1015</v>
      </c>
      <c r="S147" s="186"/>
      <c r="T147" s="109">
        <v>46215.0</v>
      </c>
      <c r="U147" s="143"/>
      <c r="V147" s="143"/>
      <c r="W147" s="143"/>
      <c r="X147" s="143"/>
      <c r="Y147" s="143"/>
      <c r="Z147" s="143"/>
      <c r="AA147" s="143"/>
      <c r="AB147" s="143"/>
      <c r="AC147" s="143"/>
      <c r="AD147" s="143"/>
      <c r="AE147" s="143"/>
      <c r="AF147" s="143"/>
      <c r="AG147" s="143"/>
      <c r="AH147" s="143"/>
      <c r="AI147" s="143"/>
      <c r="AJ147" s="143"/>
      <c r="AK147" s="143"/>
      <c r="AL147" s="143"/>
      <c r="AM147" s="143"/>
      <c r="AN147" s="143"/>
      <c r="AO147" s="143"/>
      <c r="AP147" s="143"/>
      <c r="AQ147" s="143"/>
      <c r="AR147" s="143"/>
      <c r="AS147" s="143"/>
      <c r="AT147" s="143"/>
      <c r="AU147" s="143"/>
      <c r="AV147" s="143"/>
      <c r="AW147" s="143"/>
      <c r="AX147" s="143"/>
    </row>
    <row r="148">
      <c r="A148" s="32">
        <v>46220.0</v>
      </c>
      <c r="B148" s="110" t="s">
        <v>1520</v>
      </c>
      <c r="C148" s="110" t="s">
        <v>1521</v>
      </c>
      <c r="D148" s="244">
        <v>178500.0</v>
      </c>
      <c r="E148" s="387" t="s">
        <v>1522</v>
      </c>
      <c r="F148" s="34" t="s">
        <v>880</v>
      </c>
      <c r="G148" s="34" t="s">
        <v>880</v>
      </c>
      <c r="H148" s="244">
        <v>12000.0</v>
      </c>
      <c r="I148" s="34" t="s">
        <v>880</v>
      </c>
      <c r="J148" s="400">
        <f>D148+H148</f>
        <v>190500</v>
      </c>
      <c r="K148" s="387" t="s">
        <v>1524</v>
      </c>
      <c r="L148" s="596" t="s">
        <v>1527</v>
      </c>
      <c r="M148" s="110" t="s">
        <v>773</v>
      </c>
      <c r="N148" s="110" t="s">
        <v>773</v>
      </c>
      <c r="O148" s="110" t="s">
        <v>1528</v>
      </c>
      <c r="P148" s="110" t="s">
        <v>773</v>
      </c>
      <c r="Q148" s="110" t="s">
        <v>773</v>
      </c>
      <c r="R148" s="34">
        <v>10.0</v>
      </c>
      <c r="S148" s="186"/>
      <c r="T148" s="266">
        <v>46222.0</v>
      </c>
    </row>
    <row r="149">
      <c r="A149" s="33">
        <v>46233.0</v>
      </c>
      <c r="B149" s="56" t="s">
        <v>1529</v>
      </c>
      <c r="C149" s="119" t="s">
        <v>1530</v>
      </c>
      <c r="D149" s="37">
        <v>202000.0</v>
      </c>
      <c r="E149" s="329" t="s">
        <v>1531</v>
      </c>
      <c r="F149" s="37">
        <v>96000.0</v>
      </c>
      <c r="G149" s="37">
        <v>0.0</v>
      </c>
      <c r="H149" s="37">
        <v>0.0</v>
      </c>
      <c r="I149" s="37">
        <v>0.0</v>
      </c>
      <c r="J149" s="373">
        <f>D149</f>
        <v>202000</v>
      </c>
      <c r="K149" s="329" t="s">
        <v>1537</v>
      </c>
      <c r="L149" s="368" t="s">
        <v>1540</v>
      </c>
      <c r="M149" s="35" t="s">
        <v>880</v>
      </c>
      <c r="N149" s="35" t="s">
        <v>1015</v>
      </c>
      <c r="O149" s="35" t="s">
        <v>1043</v>
      </c>
      <c r="P149" s="35" t="s">
        <v>773</v>
      </c>
      <c r="Q149" s="35" t="s">
        <v>773</v>
      </c>
      <c r="R149" s="35" t="s">
        <v>1015</v>
      </c>
      <c r="S149" s="93"/>
      <c r="T149" s="44">
        <v>46246.0</v>
      </c>
      <c r="U149" s="147"/>
      <c r="V149" s="147"/>
      <c r="W149" s="147"/>
      <c r="X149" s="147"/>
      <c r="Y149" s="147"/>
      <c r="Z149" s="147"/>
      <c r="AA149" s="147"/>
      <c r="AB149" s="147"/>
      <c r="AC149" s="147"/>
      <c r="AD149" s="147"/>
      <c r="AE149" s="147"/>
      <c r="AF149" s="147"/>
      <c r="AG149" s="147"/>
      <c r="AH149" s="147"/>
      <c r="AI149" s="147"/>
      <c r="AJ149" s="147"/>
      <c r="AK149" s="147"/>
      <c r="AL149" s="147"/>
      <c r="AM149" s="147"/>
      <c r="AN149" s="147"/>
      <c r="AO149" s="147"/>
      <c r="AP149" s="147"/>
      <c r="AQ149" s="147"/>
      <c r="AR149" s="147"/>
      <c r="AS149" s="147"/>
      <c r="AT149" s="147"/>
      <c r="AU149" s="147"/>
      <c r="AV149" s="147"/>
      <c r="AW149" s="147"/>
      <c r="AX149" s="147"/>
    </row>
    <row r="150">
      <c r="A150" s="33">
        <v>46231.0</v>
      </c>
      <c r="B150" s="110" t="s">
        <v>65</v>
      </c>
      <c r="C150" s="110" t="s">
        <v>1551</v>
      </c>
      <c r="D150" s="244">
        <v>192000.0</v>
      </c>
      <c r="E150" s="415" t="s">
        <v>1554</v>
      </c>
      <c r="F150" s="244">
        <v>0.0</v>
      </c>
      <c r="G150" s="244">
        <v>0.0</v>
      </c>
      <c r="H150" s="41">
        <v>24000.0</v>
      </c>
      <c r="I150" s="34">
        <v>0.0</v>
      </c>
      <c r="J150" s="144">
        <f>D150+H150</f>
        <v>216000</v>
      </c>
      <c r="K150" s="415" t="s">
        <v>1561</v>
      </c>
      <c r="L150" s="415" t="s">
        <v>1566</v>
      </c>
      <c r="M150" s="34" t="s">
        <v>880</v>
      </c>
      <c r="N150" s="34" t="s">
        <v>773</v>
      </c>
      <c r="O150" s="110" t="s">
        <v>1571</v>
      </c>
      <c r="P150" s="34" t="s">
        <v>773</v>
      </c>
      <c r="Q150" s="34" t="s">
        <v>773</v>
      </c>
      <c r="R150" s="34" t="s">
        <v>1015</v>
      </c>
      <c r="S150" s="186"/>
      <c r="T150" s="44">
        <v>46246.0</v>
      </c>
      <c r="U150" s="143"/>
      <c r="V150" s="143"/>
      <c r="W150" s="143"/>
      <c r="X150" s="143"/>
      <c r="Y150" s="143"/>
      <c r="Z150" s="143"/>
      <c r="AA150" s="143"/>
      <c r="AB150" s="143"/>
      <c r="AC150" s="143"/>
      <c r="AD150" s="143"/>
      <c r="AE150" s="143"/>
      <c r="AF150" s="143"/>
      <c r="AG150" s="143"/>
      <c r="AH150" s="143"/>
      <c r="AI150" s="143"/>
      <c r="AJ150" s="143"/>
      <c r="AK150" s="143"/>
      <c r="AL150" s="143"/>
      <c r="AM150" s="143"/>
      <c r="AN150" s="143"/>
      <c r="AO150" s="143"/>
      <c r="AP150" s="143"/>
      <c r="AQ150" s="143"/>
      <c r="AR150" s="143"/>
      <c r="AS150" s="143"/>
      <c r="AT150" s="143"/>
      <c r="AU150" s="143"/>
      <c r="AV150" s="143"/>
      <c r="AW150" s="143"/>
      <c r="AX150" s="143"/>
    </row>
    <row r="154">
      <c r="B154" s="360" t="s">
        <v>1230</v>
      </c>
      <c r="C154" s="4"/>
      <c r="D154" s="4"/>
      <c r="E154" s="4"/>
      <c r="F154" s="4"/>
      <c r="G154" s="4"/>
      <c r="H154" s="4"/>
      <c r="I154" s="4"/>
      <c r="J154" s="4"/>
      <c r="K154" s="4"/>
      <c r="L154" s="4"/>
      <c r="M154" s="4"/>
      <c r="N154" s="4"/>
      <c r="O154" s="4"/>
      <c r="P154" s="4"/>
      <c r="Q154" s="4"/>
      <c r="R154" s="4"/>
      <c r="S154" s="4"/>
      <c r="T154" s="6"/>
    </row>
    <row r="155">
      <c r="A155" s="306" t="s">
        <v>10</v>
      </c>
      <c r="B155" s="308" t="s">
        <v>13</v>
      </c>
      <c r="C155" s="311" t="s">
        <v>11</v>
      </c>
      <c r="D155" s="312" t="s">
        <v>693</v>
      </c>
      <c r="E155" s="313" t="s">
        <v>15</v>
      </c>
      <c r="F155" s="308" t="s">
        <v>698</v>
      </c>
      <c r="G155" s="308" t="s">
        <v>911</v>
      </c>
      <c r="H155" s="308" t="s">
        <v>700</v>
      </c>
      <c r="I155" s="308" t="s">
        <v>701</v>
      </c>
      <c r="J155" s="308" t="s">
        <v>704</v>
      </c>
      <c r="K155" s="308" t="s">
        <v>706</v>
      </c>
      <c r="L155" s="308" t="s">
        <v>707</v>
      </c>
      <c r="M155" s="308" t="s">
        <v>709</v>
      </c>
      <c r="N155" s="308" t="s">
        <v>710</v>
      </c>
      <c r="O155" s="308" t="s">
        <v>711</v>
      </c>
      <c r="P155" s="308" t="s">
        <v>712</v>
      </c>
      <c r="Q155" s="308" t="s">
        <v>714</v>
      </c>
      <c r="R155" s="308" t="s">
        <v>717</v>
      </c>
      <c r="S155" s="308" t="s">
        <v>719</v>
      </c>
      <c r="T155" s="308" t="s">
        <v>721</v>
      </c>
    </row>
    <row r="156">
      <c r="A156" s="32">
        <v>46176.0</v>
      </c>
      <c r="B156" s="91" t="s">
        <v>1593</v>
      </c>
      <c r="C156" s="91" t="s">
        <v>1595</v>
      </c>
      <c r="D156" s="41">
        <v>180000.0</v>
      </c>
      <c r="E156" s="395" t="s">
        <v>1598</v>
      </c>
      <c r="F156" s="34" t="s">
        <v>880</v>
      </c>
      <c r="G156" s="34" t="s">
        <v>880</v>
      </c>
      <c r="H156" s="34" t="s">
        <v>880</v>
      </c>
      <c r="I156" s="34" t="s">
        <v>880</v>
      </c>
      <c r="J156" s="144">
        <f>D156</f>
        <v>180000</v>
      </c>
      <c r="K156" s="34" t="s">
        <v>880</v>
      </c>
      <c r="L156" s="494" t="s">
        <v>1604</v>
      </c>
      <c r="M156" s="34" t="s">
        <v>880</v>
      </c>
      <c r="N156" s="34" t="s">
        <v>880</v>
      </c>
      <c r="O156" s="34" t="s">
        <v>1610</v>
      </c>
      <c r="P156" s="34" t="s">
        <v>773</v>
      </c>
      <c r="Q156" s="34" t="s">
        <v>1391</v>
      </c>
      <c r="R156" s="34">
        <v>10.0</v>
      </c>
      <c r="S156" s="34" t="s">
        <v>1612</v>
      </c>
      <c r="T156" s="32">
        <v>46183.0</v>
      </c>
      <c r="U156" s="89"/>
      <c r="V156" s="89"/>
      <c r="W156" s="89"/>
      <c r="X156" s="89"/>
      <c r="Y156" s="89"/>
      <c r="Z156" s="89"/>
      <c r="AA156" s="89"/>
      <c r="AB156" s="89"/>
      <c r="AC156" s="89"/>
      <c r="AD156" s="89"/>
      <c r="AE156" s="89"/>
      <c r="AF156" s="89"/>
      <c r="AG156" s="89"/>
      <c r="AH156" s="89"/>
      <c r="AI156" s="89"/>
      <c r="AJ156" s="89"/>
      <c r="AK156" s="89"/>
      <c r="AL156" s="89"/>
      <c r="AM156" s="89"/>
      <c r="AN156" s="89"/>
      <c r="AO156" s="89"/>
      <c r="AP156" s="89"/>
      <c r="AQ156" s="89"/>
      <c r="AR156" s="89"/>
      <c r="AS156" s="89"/>
      <c r="AT156" s="89"/>
      <c r="AU156" s="89"/>
      <c r="AV156" s="89"/>
      <c r="AW156" s="89"/>
      <c r="AX156" s="89"/>
    </row>
    <row r="162">
      <c r="B162" s="360" t="s">
        <v>1256</v>
      </c>
      <c r="C162" s="4"/>
      <c r="D162" s="4"/>
      <c r="E162" s="4"/>
      <c r="F162" s="4"/>
      <c r="G162" s="4"/>
      <c r="H162" s="4"/>
      <c r="I162" s="4"/>
      <c r="J162" s="4"/>
      <c r="K162" s="4"/>
      <c r="L162" s="4"/>
      <c r="M162" s="4"/>
      <c r="N162" s="4"/>
      <c r="O162" s="4"/>
      <c r="P162" s="4"/>
      <c r="Q162" s="4"/>
      <c r="R162" s="4"/>
      <c r="S162" s="4"/>
      <c r="T162" s="6"/>
    </row>
    <row r="163">
      <c r="A163" s="306" t="s">
        <v>10</v>
      </c>
      <c r="B163" s="308" t="s">
        <v>13</v>
      </c>
      <c r="C163" s="311" t="s">
        <v>11</v>
      </c>
      <c r="D163" s="312" t="s">
        <v>693</v>
      </c>
      <c r="E163" s="313" t="s">
        <v>15</v>
      </c>
      <c r="F163" s="308" t="s">
        <v>698</v>
      </c>
      <c r="G163" s="308" t="s">
        <v>911</v>
      </c>
      <c r="H163" s="308" t="s">
        <v>700</v>
      </c>
      <c r="I163" s="308" t="s">
        <v>701</v>
      </c>
      <c r="J163" s="308" t="s">
        <v>704</v>
      </c>
      <c r="K163" s="308" t="s">
        <v>706</v>
      </c>
      <c r="L163" s="308" t="s">
        <v>707</v>
      </c>
      <c r="M163" s="308" t="s">
        <v>709</v>
      </c>
      <c r="N163" s="308" t="s">
        <v>710</v>
      </c>
      <c r="O163" s="308" t="s">
        <v>711</v>
      </c>
      <c r="P163" s="308" t="s">
        <v>712</v>
      </c>
      <c r="Q163" s="308" t="s">
        <v>714</v>
      </c>
      <c r="R163" s="308" t="s">
        <v>717</v>
      </c>
      <c r="S163" s="308" t="s">
        <v>719</v>
      </c>
      <c r="T163" s="308" t="s">
        <v>721</v>
      </c>
    </row>
    <row r="164">
      <c r="A164" s="172">
        <v>46196.0</v>
      </c>
      <c r="B164" s="173" t="s">
        <v>1624</v>
      </c>
      <c r="C164" s="173" t="s">
        <v>1625</v>
      </c>
      <c r="D164" s="244">
        <v>150000.0</v>
      </c>
      <c r="E164" s="387" t="s">
        <v>1628</v>
      </c>
      <c r="F164" s="244">
        <v>30000.0</v>
      </c>
      <c r="G164" s="244" t="s">
        <v>880</v>
      </c>
      <c r="H164" s="244">
        <v>15000.0</v>
      </c>
      <c r="I164" s="173" t="s">
        <v>880</v>
      </c>
      <c r="J164" s="400">
        <f>D164+H164</f>
        <v>165000</v>
      </c>
      <c r="K164" s="387" t="s">
        <v>1637</v>
      </c>
      <c r="L164" s="387" t="s">
        <v>1642</v>
      </c>
      <c r="M164" s="173" t="s">
        <v>773</v>
      </c>
      <c r="N164" s="173" t="s">
        <v>773</v>
      </c>
      <c r="O164" s="173" t="s">
        <v>1646</v>
      </c>
      <c r="P164" s="173" t="s">
        <v>773</v>
      </c>
      <c r="Q164" s="173" t="s">
        <v>773</v>
      </c>
      <c r="R164" s="173" t="s">
        <v>1015</v>
      </c>
      <c r="S164" s="1"/>
      <c r="T164" s="172">
        <v>46215.0</v>
      </c>
    </row>
    <row r="173">
      <c r="B173" s="360" t="s">
        <v>1264</v>
      </c>
      <c r="C173" s="4"/>
      <c r="D173" s="4"/>
      <c r="E173" s="4"/>
      <c r="F173" s="4"/>
      <c r="G173" s="4"/>
      <c r="H173" s="4"/>
      <c r="I173" s="4"/>
      <c r="J173" s="4"/>
      <c r="K173" s="4"/>
      <c r="L173" s="4"/>
      <c r="M173" s="4"/>
      <c r="N173" s="4"/>
      <c r="O173" s="4"/>
      <c r="P173" s="4"/>
      <c r="Q173" s="4"/>
      <c r="R173" s="4"/>
      <c r="S173" s="4"/>
      <c r="T173" s="6"/>
    </row>
    <row r="174">
      <c r="A174" s="306" t="s">
        <v>10</v>
      </c>
      <c r="B174" s="308" t="s">
        <v>13</v>
      </c>
      <c r="C174" s="311" t="s">
        <v>11</v>
      </c>
      <c r="D174" s="312" t="s">
        <v>693</v>
      </c>
      <c r="E174" s="313" t="s">
        <v>15</v>
      </c>
      <c r="F174" s="308" t="s">
        <v>698</v>
      </c>
      <c r="G174" s="308" t="s">
        <v>911</v>
      </c>
      <c r="H174" s="308" t="s">
        <v>700</v>
      </c>
      <c r="I174" s="308" t="s">
        <v>701</v>
      </c>
      <c r="J174" s="308" t="s">
        <v>704</v>
      </c>
      <c r="K174" s="308" t="s">
        <v>706</v>
      </c>
      <c r="L174" s="308" t="s">
        <v>707</v>
      </c>
      <c r="M174" s="308" t="s">
        <v>709</v>
      </c>
      <c r="N174" s="308" t="s">
        <v>710</v>
      </c>
      <c r="O174" s="308" t="s">
        <v>711</v>
      </c>
      <c r="P174" s="308" t="s">
        <v>712</v>
      </c>
      <c r="Q174" s="308" t="s">
        <v>714</v>
      </c>
      <c r="R174" s="308" t="s">
        <v>717</v>
      </c>
      <c r="S174" s="308" t="s">
        <v>719</v>
      </c>
      <c r="T174" s="308" t="s">
        <v>721</v>
      </c>
    </row>
    <row r="175">
      <c r="A175" s="32">
        <v>46212.0</v>
      </c>
      <c r="B175" s="34" t="s">
        <v>1653</v>
      </c>
      <c r="C175" s="34" t="s">
        <v>1654</v>
      </c>
      <c r="D175" s="41">
        <v>170000.0</v>
      </c>
      <c r="E175" s="395" t="s">
        <v>1655</v>
      </c>
      <c r="F175" s="34" t="s">
        <v>880</v>
      </c>
      <c r="G175" s="34" t="s">
        <v>880</v>
      </c>
      <c r="H175" s="34" t="s">
        <v>880</v>
      </c>
      <c r="I175" s="34" t="s">
        <v>880</v>
      </c>
      <c r="J175" s="144">
        <f t="shared" ref="J175:J176" si="10">D175</f>
        <v>170000</v>
      </c>
      <c r="K175" s="34" t="s">
        <v>880</v>
      </c>
      <c r="L175" s="395" t="s">
        <v>1659</v>
      </c>
      <c r="M175" s="34" t="s">
        <v>880</v>
      </c>
      <c r="N175" s="34" t="s">
        <v>773</v>
      </c>
      <c r="O175" s="34" t="s">
        <v>1335</v>
      </c>
      <c r="P175" s="34" t="s">
        <v>773</v>
      </c>
      <c r="Q175" s="34" t="s">
        <v>773</v>
      </c>
      <c r="R175" s="34" t="s">
        <v>1015</v>
      </c>
      <c r="S175" s="127"/>
      <c r="T175" s="32">
        <v>46215.0</v>
      </c>
    </row>
    <row r="176">
      <c r="A176" s="32">
        <v>46218.0</v>
      </c>
      <c r="B176" s="153" t="s">
        <v>1664</v>
      </c>
      <c r="C176" s="443" t="s">
        <v>1665</v>
      </c>
      <c r="D176" s="41">
        <v>200000.0</v>
      </c>
      <c r="E176" s="395" t="s">
        <v>1667</v>
      </c>
      <c r="F176" s="37">
        <v>120000.0</v>
      </c>
      <c r="G176" s="34" t="s">
        <v>880</v>
      </c>
      <c r="H176" s="34" t="s">
        <v>880</v>
      </c>
      <c r="I176" s="34" t="s">
        <v>880</v>
      </c>
      <c r="J176" s="144">
        <f t="shared" si="10"/>
        <v>200000</v>
      </c>
      <c r="K176" s="555" t="s">
        <v>1670</v>
      </c>
      <c r="L176" s="395" t="s">
        <v>1671</v>
      </c>
      <c r="M176" s="34" t="s">
        <v>880</v>
      </c>
      <c r="N176" s="34" t="s">
        <v>773</v>
      </c>
      <c r="O176" s="34" t="s">
        <v>776</v>
      </c>
      <c r="P176" s="34" t="s">
        <v>773</v>
      </c>
      <c r="Q176" s="34" t="s">
        <v>773</v>
      </c>
      <c r="R176" s="34" t="s">
        <v>1015</v>
      </c>
      <c r="S176" s="127"/>
      <c r="T176" s="174">
        <v>46222.0</v>
      </c>
      <c r="U176" s="89"/>
      <c r="V176" s="89"/>
      <c r="W176" s="89"/>
      <c r="X176" s="89"/>
      <c r="Y176" s="89"/>
      <c r="Z176" s="89"/>
      <c r="AA176" s="89"/>
      <c r="AB176" s="89"/>
      <c r="AC176" s="89"/>
      <c r="AD176" s="89"/>
      <c r="AE176" s="89"/>
      <c r="AF176" s="89"/>
      <c r="AG176" s="89"/>
      <c r="AH176" s="89"/>
      <c r="AI176" s="89"/>
      <c r="AJ176" s="89"/>
      <c r="AK176" s="89"/>
      <c r="AL176" s="89"/>
      <c r="AM176" s="89"/>
      <c r="AN176" s="89"/>
      <c r="AO176" s="89"/>
      <c r="AP176" s="89"/>
      <c r="AQ176" s="89"/>
      <c r="AR176" s="89"/>
      <c r="AS176" s="89"/>
      <c r="AT176" s="89"/>
      <c r="AU176" s="89"/>
      <c r="AV176" s="89"/>
      <c r="AW176" s="89"/>
      <c r="AX176" s="89"/>
    </row>
    <row r="177">
      <c r="A177" s="32">
        <v>46227.0</v>
      </c>
      <c r="B177" s="723" t="s">
        <v>1675</v>
      </c>
      <c r="C177" s="724" t="s">
        <v>1677</v>
      </c>
      <c r="D177" s="400">
        <f>179000</f>
        <v>179000</v>
      </c>
      <c r="E177" s="346" t="s">
        <v>1679</v>
      </c>
      <c r="F177" s="244">
        <v>178500.0</v>
      </c>
      <c r="G177" s="728">
        <f>F177-136500</f>
        <v>42000</v>
      </c>
      <c r="H177" s="34" t="s">
        <v>880</v>
      </c>
      <c r="I177" s="34" t="s">
        <v>880</v>
      </c>
      <c r="J177" s="400">
        <f>D177-G177</f>
        <v>137000</v>
      </c>
      <c r="K177" s="329" t="s">
        <v>1681</v>
      </c>
      <c r="L177" s="346" t="s">
        <v>1682</v>
      </c>
      <c r="M177" s="34" t="s">
        <v>880</v>
      </c>
      <c r="N177" s="34" t="s">
        <v>773</v>
      </c>
      <c r="O177" s="110" t="s">
        <v>776</v>
      </c>
      <c r="P177" s="34" t="s">
        <v>773</v>
      </c>
      <c r="Q177" s="34" t="s">
        <v>773</v>
      </c>
      <c r="R177" s="34" t="s">
        <v>1015</v>
      </c>
      <c r="S177" s="1"/>
      <c r="T177" s="732">
        <v>46238.0</v>
      </c>
    </row>
    <row r="178">
      <c r="A178" s="32">
        <v>46232.0</v>
      </c>
      <c r="B178" s="77" t="s">
        <v>1689</v>
      </c>
      <c r="C178" s="34" t="s">
        <v>1691</v>
      </c>
      <c r="D178" s="41">
        <v>209000.0</v>
      </c>
      <c r="E178" s="395" t="s">
        <v>1692</v>
      </c>
      <c r="F178" s="41">
        <v>210000.0</v>
      </c>
      <c r="G178" s="34" t="s">
        <v>880</v>
      </c>
      <c r="H178" s="34" t="s">
        <v>880</v>
      </c>
      <c r="I178" s="34" t="s">
        <v>880</v>
      </c>
      <c r="J178" s="144">
        <f t="shared" ref="J178:J179" si="11">D178</f>
        <v>209000</v>
      </c>
      <c r="K178" s="395" t="s">
        <v>1709</v>
      </c>
      <c r="L178" s="395" t="s">
        <v>1718</v>
      </c>
      <c r="M178" s="34" t="s">
        <v>880</v>
      </c>
      <c r="N178" s="34" t="s">
        <v>773</v>
      </c>
      <c r="O178" s="34" t="s">
        <v>776</v>
      </c>
      <c r="P178" s="34" t="s">
        <v>773</v>
      </c>
      <c r="Q178" s="34" t="s">
        <v>773</v>
      </c>
      <c r="R178" s="34" t="s">
        <v>1015</v>
      </c>
      <c r="S178" s="127"/>
      <c r="T178" s="732">
        <v>46238.0</v>
      </c>
      <c r="U178" s="89"/>
      <c r="V178" s="89"/>
      <c r="W178" s="89"/>
      <c r="X178" s="89"/>
      <c r="Y178" s="89"/>
      <c r="Z178" s="89"/>
      <c r="AA178" s="89"/>
      <c r="AB178" s="89"/>
      <c r="AC178" s="89"/>
      <c r="AD178" s="89"/>
      <c r="AE178" s="89"/>
      <c r="AF178" s="89"/>
      <c r="AG178" s="89"/>
      <c r="AH178" s="89"/>
      <c r="AI178" s="89"/>
      <c r="AJ178" s="89"/>
      <c r="AK178" s="89"/>
      <c r="AL178" s="89"/>
      <c r="AM178" s="89"/>
      <c r="AN178" s="89"/>
      <c r="AO178" s="89"/>
      <c r="AP178" s="89"/>
      <c r="AQ178" s="89"/>
      <c r="AR178" s="89"/>
      <c r="AS178" s="89"/>
      <c r="AT178" s="89"/>
      <c r="AU178" s="89"/>
      <c r="AV178" s="89"/>
      <c r="AW178" s="89"/>
      <c r="AX178" s="89"/>
    </row>
    <row r="179">
      <c r="A179" s="32">
        <v>46234.0</v>
      </c>
      <c r="B179" s="164" t="s">
        <v>1731</v>
      </c>
      <c r="C179" s="164" t="s">
        <v>1732</v>
      </c>
      <c r="D179" s="244">
        <v>202000.0</v>
      </c>
      <c r="E179" s="387" t="s">
        <v>1733</v>
      </c>
      <c r="F179" s="244">
        <v>96000.0</v>
      </c>
      <c r="G179" s="34" t="s">
        <v>880</v>
      </c>
      <c r="H179" s="34" t="s">
        <v>880</v>
      </c>
      <c r="I179" s="34" t="s">
        <v>880</v>
      </c>
      <c r="J179" s="144">
        <f t="shared" si="11"/>
        <v>202000</v>
      </c>
      <c r="K179" s="387" t="s">
        <v>1735</v>
      </c>
      <c r="L179" s="387" t="s">
        <v>1739</v>
      </c>
      <c r="M179" s="34" t="s">
        <v>880</v>
      </c>
      <c r="N179" s="34" t="s">
        <v>773</v>
      </c>
      <c r="O179" s="34" t="s">
        <v>776</v>
      </c>
      <c r="P179" s="34" t="s">
        <v>773</v>
      </c>
      <c r="Q179" s="34" t="s">
        <v>773</v>
      </c>
      <c r="R179" s="34" t="s">
        <v>1015</v>
      </c>
      <c r="S179" s="1"/>
      <c r="T179" s="732">
        <v>46238.0</v>
      </c>
    </row>
    <row r="187">
      <c r="B187" s="360" t="s">
        <v>1336</v>
      </c>
      <c r="C187" s="4"/>
      <c r="D187" s="4"/>
      <c r="E187" s="4"/>
      <c r="F187" s="4"/>
      <c r="G187" s="4"/>
      <c r="H187" s="4"/>
      <c r="I187" s="4"/>
      <c r="J187" s="4"/>
      <c r="K187" s="4"/>
      <c r="L187" s="4"/>
      <c r="M187" s="4"/>
      <c r="N187" s="4"/>
      <c r="O187" s="4"/>
      <c r="P187" s="4"/>
      <c r="Q187" s="4"/>
      <c r="R187" s="4"/>
      <c r="S187" s="4"/>
      <c r="T187" s="6"/>
    </row>
    <row r="188">
      <c r="A188" s="306" t="s">
        <v>10</v>
      </c>
      <c r="B188" s="308" t="s">
        <v>13</v>
      </c>
      <c r="C188" s="311" t="s">
        <v>11</v>
      </c>
      <c r="D188" s="312" t="s">
        <v>693</v>
      </c>
      <c r="E188" s="313" t="s">
        <v>15</v>
      </c>
      <c r="F188" s="308" t="s">
        <v>698</v>
      </c>
      <c r="G188" s="308" t="s">
        <v>911</v>
      </c>
      <c r="H188" s="308" t="s">
        <v>700</v>
      </c>
      <c r="I188" s="308" t="s">
        <v>701</v>
      </c>
      <c r="J188" s="308" t="s">
        <v>704</v>
      </c>
      <c r="K188" s="308" t="s">
        <v>706</v>
      </c>
      <c r="L188" s="308" t="s">
        <v>707</v>
      </c>
      <c r="M188" s="308" t="s">
        <v>709</v>
      </c>
      <c r="N188" s="308" t="s">
        <v>710</v>
      </c>
      <c r="O188" s="308" t="s">
        <v>711</v>
      </c>
      <c r="P188" s="308" t="s">
        <v>712</v>
      </c>
      <c r="Q188" s="308" t="s">
        <v>714</v>
      </c>
      <c r="R188" s="308" t="s">
        <v>717</v>
      </c>
      <c r="S188" s="308" t="s">
        <v>719</v>
      </c>
      <c r="T188" s="308" t="s">
        <v>721</v>
      </c>
    </row>
    <row r="189">
      <c r="A189" s="158">
        <v>46207.0</v>
      </c>
      <c r="B189" s="77" t="s">
        <v>1742</v>
      </c>
      <c r="C189" s="77" t="s">
        <v>1743</v>
      </c>
      <c r="D189" s="129">
        <v>175000.0</v>
      </c>
      <c r="E189" s="544" t="s">
        <v>1744</v>
      </c>
      <c r="F189" s="41">
        <v>120000.0</v>
      </c>
      <c r="G189" s="34" t="s">
        <v>880</v>
      </c>
      <c r="H189" s="34" t="s">
        <v>880</v>
      </c>
      <c r="I189" s="34" t="s">
        <v>880</v>
      </c>
      <c r="J189" s="144">
        <f t="shared" ref="J189:J190" si="12">D189</f>
        <v>175000</v>
      </c>
      <c r="K189" s="544" t="s">
        <v>1749</v>
      </c>
      <c r="L189" s="544" t="s">
        <v>1752</v>
      </c>
      <c r="M189" s="77" t="s">
        <v>773</v>
      </c>
      <c r="N189" s="77" t="s">
        <v>773</v>
      </c>
      <c r="O189" s="77" t="s">
        <v>776</v>
      </c>
      <c r="P189" s="77" t="s">
        <v>773</v>
      </c>
      <c r="Q189" s="77" t="s">
        <v>773</v>
      </c>
      <c r="R189" s="77" t="s">
        <v>1015</v>
      </c>
      <c r="S189" s="241"/>
      <c r="T189" s="77">
        <v>1.2072026E7</v>
      </c>
      <c r="U189" s="758" t="s">
        <v>1759</v>
      </c>
      <c r="V189" s="542"/>
      <c r="W189" s="542"/>
      <c r="X189" s="542"/>
      <c r="Y189" s="542"/>
      <c r="Z189" s="542"/>
      <c r="AA189" s="542"/>
      <c r="AB189" s="542"/>
      <c r="AC189" s="542"/>
      <c r="AD189" s="542"/>
      <c r="AE189" s="542"/>
      <c r="AF189" s="542"/>
      <c r="AG189" s="542"/>
      <c r="AH189" s="542"/>
      <c r="AI189" s="542"/>
      <c r="AJ189" s="542"/>
      <c r="AK189" s="542"/>
      <c r="AL189" s="542"/>
      <c r="AM189" s="542"/>
      <c r="AN189" s="542"/>
      <c r="AO189" s="542"/>
      <c r="AP189" s="542"/>
      <c r="AQ189" s="542"/>
      <c r="AR189" s="542"/>
      <c r="AS189" s="542"/>
      <c r="AT189" s="542"/>
      <c r="AU189" s="542"/>
      <c r="AV189" s="542"/>
      <c r="AW189" s="542"/>
      <c r="AX189" s="542"/>
    </row>
    <row r="190">
      <c r="A190" s="158">
        <v>46232.0</v>
      </c>
      <c r="B190" s="173" t="s">
        <v>1763</v>
      </c>
      <c r="C190" s="173" t="s">
        <v>1764</v>
      </c>
      <c r="D190" s="244">
        <v>210000.0</v>
      </c>
      <c r="E190" s="387" t="s">
        <v>1766</v>
      </c>
      <c r="F190" s="110">
        <v>0.0</v>
      </c>
      <c r="G190" s="110">
        <v>0.0</v>
      </c>
      <c r="H190" s="110">
        <v>0.0</v>
      </c>
      <c r="I190" s="110">
        <v>0.0</v>
      </c>
      <c r="J190" s="144">
        <f t="shared" si="12"/>
        <v>210000</v>
      </c>
      <c r="K190" s="173" t="s">
        <v>880</v>
      </c>
      <c r="L190" s="387" t="s">
        <v>1778</v>
      </c>
      <c r="M190" s="77" t="s">
        <v>880</v>
      </c>
      <c r="N190" s="77" t="s">
        <v>773</v>
      </c>
      <c r="O190" s="110" t="s">
        <v>1335</v>
      </c>
      <c r="P190" s="77" t="s">
        <v>773</v>
      </c>
      <c r="Q190" s="77" t="s">
        <v>773</v>
      </c>
      <c r="R190" s="77" t="s">
        <v>1015</v>
      </c>
      <c r="S190" s="1"/>
      <c r="T190" s="1"/>
    </row>
    <row r="194">
      <c r="B194" s="360" t="s">
        <v>1413</v>
      </c>
      <c r="C194" s="4"/>
      <c r="D194" s="4"/>
      <c r="E194" s="4"/>
      <c r="F194" s="4"/>
      <c r="G194" s="4"/>
      <c r="H194" s="4"/>
      <c r="I194" s="4"/>
      <c r="J194" s="4"/>
      <c r="K194" s="4"/>
      <c r="L194" s="4"/>
      <c r="M194" s="4"/>
      <c r="N194" s="4"/>
      <c r="O194" s="4"/>
      <c r="P194" s="4"/>
      <c r="Q194" s="4"/>
      <c r="R194" s="4"/>
      <c r="S194" s="4"/>
      <c r="T194" s="6"/>
      <c r="U194" s="569"/>
    </row>
    <row r="195">
      <c r="A195" s="26" t="s">
        <v>10</v>
      </c>
      <c r="B195" s="414" t="s">
        <v>13</v>
      </c>
      <c r="C195" s="416" t="s">
        <v>11</v>
      </c>
      <c r="D195" s="417" t="s">
        <v>693</v>
      </c>
      <c r="E195" s="419" t="s">
        <v>15</v>
      </c>
      <c r="F195" s="414" t="s">
        <v>698</v>
      </c>
      <c r="G195" s="414" t="s">
        <v>911</v>
      </c>
      <c r="H195" s="414" t="s">
        <v>700</v>
      </c>
      <c r="I195" s="414" t="s">
        <v>701</v>
      </c>
      <c r="J195" s="414" t="s">
        <v>704</v>
      </c>
      <c r="K195" s="414" t="s">
        <v>706</v>
      </c>
      <c r="L195" s="414" t="s">
        <v>707</v>
      </c>
      <c r="M195" s="414" t="s">
        <v>709</v>
      </c>
      <c r="N195" s="414" t="s">
        <v>710</v>
      </c>
      <c r="O195" s="414" t="s">
        <v>711</v>
      </c>
      <c r="P195" s="414" t="s">
        <v>712</v>
      </c>
      <c r="Q195" s="414" t="s">
        <v>714</v>
      </c>
      <c r="R195" s="414" t="s">
        <v>717</v>
      </c>
      <c r="S195" s="414" t="s">
        <v>719</v>
      </c>
      <c r="T195" s="414" t="s">
        <v>721</v>
      </c>
    </row>
    <row r="196">
      <c r="A196" s="158">
        <v>46232.0</v>
      </c>
      <c r="B196" s="165" t="s">
        <v>1805</v>
      </c>
      <c r="C196" s="173" t="s">
        <v>1807</v>
      </c>
      <c r="D196" s="212">
        <v>175000.0</v>
      </c>
      <c r="E196" s="320" t="s">
        <v>1809</v>
      </c>
      <c r="F196" s="766">
        <v>0.0</v>
      </c>
      <c r="G196" s="766">
        <v>0.0</v>
      </c>
      <c r="H196" s="766">
        <v>0.0</v>
      </c>
      <c r="I196" s="766">
        <v>0.0</v>
      </c>
      <c r="J196" s="212">
        <f>D196</f>
        <v>175000</v>
      </c>
      <c r="K196" s="315" t="s">
        <v>880</v>
      </c>
      <c r="L196" s="346" t="s">
        <v>1822</v>
      </c>
      <c r="M196" s="315" t="s">
        <v>773</v>
      </c>
      <c r="N196" s="315" t="s">
        <v>777</v>
      </c>
      <c r="O196" s="165" t="s">
        <v>776</v>
      </c>
      <c r="P196" s="165" t="s">
        <v>1260</v>
      </c>
      <c r="Q196" s="315" t="s">
        <v>1391</v>
      </c>
      <c r="R196" s="165"/>
      <c r="S196" s="70"/>
      <c r="T196" s="687">
        <v>46246.0</v>
      </c>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row>
    <row r="199">
      <c r="B199" s="360" t="s">
        <v>1827</v>
      </c>
      <c r="C199" s="4"/>
      <c r="D199" s="4"/>
      <c r="E199" s="4"/>
      <c r="F199" s="4"/>
      <c r="G199" s="4"/>
      <c r="H199" s="4"/>
      <c r="I199" s="4"/>
      <c r="J199" s="4"/>
      <c r="K199" s="4"/>
      <c r="L199" s="4"/>
      <c r="M199" s="4"/>
      <c r="N199" s="4"/>
      <c r="O199" s="4"/>
      <c r="P199" s="4"/>
      <c r="Q199" s="4"/>
      <c r="R199" s="4"/>
      <c r="S199" s="4"/>
      <c r="T199" s="6"/>
      <c r="U199" s="569"/>
    </row>
    <row r="200">
      <c r="A200" s="26" t="s">
        <v>10</v>
      </c>
      <c r="B200" s="308" t="s">
        <v>13</v>
      </c>
      <c r="C200" s="311" t="s">
        <v>11</v>
      </c>
      <c r="D200" s="312" t="s">
        <v>693</v>
      </c>
      <c r="E200" s="313" t="s">
        <v>15</v>
      </c>
      <c r="F200" s="308" t="s">
        <v>698</v>
      </c>
      <c r="G200" s="308" t="s">
        <v>911</v>
      </c>
      <c r="H200" s="308" t="s">
        <v>700</v>
      </c>
      <c r="I200" s="308" t="s">
        <v>701</v>
      </c>
      <c r="J200" s="308" t="s">
        <v>704</v>
      </c>
      <c r="K200" s="308" t="s">
        <v>706</v>
      </c>
      <c r="L200" s="308" t="s">
        <v>707</v>
      </c>
      <c r="M200" s="308" t="s">
        <v>709</v>
      </c>
      <c r="N200" s="308" t="s">
        <v>710</v>
      </c>
      <c r="O200" s="308" t="s">
        <v>711</v>
      </c>
      <c r="P200" s="308" t="s">
        <v>712</v>
      </c>
      <c r="Q200" s="308" t="s">
        <v>714</v>
      </c>
      <c r="R200" s="308" t="s">
        <v>717</v>
      </c>
      <c r="S200" s="308" t="s">
        <v>719</v>
      </c>
      <c r="T200" s="308" t="s">
        <v>721</v>
      </c>
      <c r="U200" s="31"/>
      <c r="V200" s="31"/>
      <c r="W200" s="31"/>
      <c r="X200" s="31"/>
      <c r="Y200" s="31"/>
      <c r="Z200" s="31"/>
      <c r="AA200" s="31"/>
      <c r="AB200" s="31"/>
      <c r="AC200" s="31"/>
      <c r="AD200" s="31"/>
      <c r="AE200" s="31"/>
      <c r="AF200" s="31"/>
      <c r="AG200" s="31"/>
      <c r="AH200" s="31"/>
      <c r="AI200" s="31"/>
      <c r="AJ200" s="31"/>
      <c r="AK200" s="31"/>
      <c r="AL200" s="31"/>
      <c r="AM200" s="31"/>
      <c r="AN200" s="31"/>
      <c r="AO200" s="31"/>
      <c r="AP200" s="31"/>
      <c r="AQ200" s="31"/>
      <c r="AR200" s="31"/>
      <c r="AS200" s="31"/>
      <c r="AT200" s="31"/>
      <c r="AU200" s="31"/>
      <c r="AV200" s="31"/>
      <c r="AW200" s="31"/>
      <c r="AX200" s="31"/>
    </row>
    <row r="201">
      <c r="A201" s="158">
        <v>46227.0</v>
      </c>
      <c r="B201" s="35" t="s">
        <v>834</v>
      </c>
      <c r="C201" s="281" t="s">
        <v>1831</v>
      </c>
      <c r="D201" s="37">
        <v>185000.0</v>
      </c>
      <c r="E201" s="329" t="s">
        <v>1832</v>
      </c>
      <c r="F201" s="167">
        <v>0.0</v>
      </c>
      <c r="G201" s="167">
        <v>0.0</v>
      </c>
      <c r="H201" s="167">
        <f>6000*3</f>
        <v>18000</v>
      </c>
      <c r="I201" s="167">
        <v>0.0</v>
      </c>
      <c r="J201" s="37">
        <f>D201+H201</f>
        <v>203000</v>
      </c>
      <c r="K201" s="35" t="s">
        <v>880</v>
      </c>
      <c r="L201" s="329" t="s">
        <v>1833</v>
      </c>
      <c r="M201" s="35" t="s">
        <v>880</v>
      </c>
      <c r="N201" s="35" t="s">
        <v>777</v>
      </c>
      <c r="O201" s="35" t="s">
        <v>1033</v>
      </c>
      <c r="P201" s="35" t="s">
        <v>1260</v>
      </c>
      <c r="Q201" s="35" t="s">
        <v>1391</v>
      </c>
      <c r="R201" s="35"/>
      <c r="S201" s="72" t="s">
        <v>1835</v>
      </c>
      <c r="T201" s="33">
        <v>46229.0</v>
      </c>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c r="AV201" s="51"/>
      <c r="AW201" s="51"/>
      <c r="AX201" s="51"/>
    </row>
  </sheetData>
  <autoFilter ref="$A$99:$AX$130"/>
  <mergeCells count="33">
    <mergeCell ref="C1:G1"/>
    <mergeCell ref="J1:O1"/>
    <mergeCell ref="S1:W1"/>
    <mergeCell ref="Z1:AD1"/>
    <mergeCell ref="AH1:AL1"/>
    <mergeCell ref="G3:G8"/>
    <mergeCell ref="AL3:AL5"/>
    <mergeCell ref="W6:W7"/>
    <mergeCell ref="J8:O8"/>
    <mergeCell ref="G9:G17"/>
    <mergeCell ref="W17:AB17"/>
    <mergeCell ref="G18:G21"/>
    <mergeCell ref="M18:Q18"/>
    <mergeCell ref="G22:G30"/>
    <mergeCell ref="G31:G37"/>
    <mergeCell ref="G38:G39"/>
    <mergeCell ref="G40:G49"/>
    <mergeCell ref="B54:T54"/>
    <mergeCell ref="E56:H56"/>
    <mergeCell ref="K56:Q56"/>
    <mergeCell ref="T58:T60"/>
    <mergeCell ref="B162:T162"/>
    <mergeCell ref="B173:T173"/>
    <mergeCell ref="B187:T187"/>
    <mergeCell ref="B194:T194"/>
    <mergeCell ref="B199:T199"/>
    <mergeCell ref="B73:T73"/>
    <mergeCell ref="B85:T85"/>
    <mergeCell ref="B98:U98"/>
    <mergeCell ref="V100:V107"/>
    <mergeCell ref="B134:U134"/>
    <mergeCell ref="B144:T144"/>
    <mergeCell ref="B154:T154"/>
  </mergeCells>
  <hyperlinks>
    <hyperlink r:id="rId2" ref="K57"/>
    <hyperlink r:id="rId3" ref="L57"/>
    <hyperlink r:id="rId4" ref="L58"/>
    <hyperlink r:id="rId5" ref="K59"/>
    <hyperlink r:id="rId6" ref="L59"/>
    <hyperlink r:id="rId7" ref="E60"/>
    <hyperlink r:id="rId8" ref="L60"/>
    <hyperlink r:id="rId9" ref="E61"/>
    <hyperlink r:id="rId10" ref="K61"/>
    <hyperlink r:id="rId11" ref="L61"/>
    <hyperlink r:id="rId12" ref="E62"/>
    <hyperlink r:id="rId13" ref="K62"/>
    <hyperlink r:id="rId14" ref="L62"/>
    <hyperlink r:id="rId15" ref="E63"/>
    <hyperlink r:id="rId16" ref="K63"/>
    <hyperlink r:id="rId17" ref="L63"/>
    <hyperlink r:id="rId18" ref="E64"/>
    <hyperlink r:id="rId19" ref="K64"/>
    <hyperlink r:id="rId20" ref="L64"/>
    <hyperlink r:id="rId21" ref="E65"/>
    <hyperlink r:id="rId22" ref="K65"/>
    <hyperlink r:id="rId23" ref="L65"/>
    <hyperlink r:id="rId24" ref="E66"/>
    <hyperlink r:id="rId25" ref="L66"/>
    <hyperlink r:id="rId26" ref="E67"/>
    <hyperlink r:id="rId27" ref="K67"/>
    <hyperlink r:id="rId28" ref="L67"/>
    <hyperlink r:id="rId29" ref="E68"/>
    <hyperlink r:id="rId30" ref="K68"/>
    <hyperlink r:id="rId31" ref="L68"/>
    <hyperlink r:id="rId32" ref="E69"/>
    <hyperlink r:id="rId33" ref="K69"/>
    <hyperlink r:id="rId34" ref="L69"/>
    <hyperlink r:id="rId35" ref="K75"/>
    <hyperlink r:id="rId36" ref="L75"/>
    <hyperlink r:id="rId37" ref="E76"/>
    <hyperlink r:id="rId38" ref="K76"/>
    <hyperlink r:id="rId39" ref="L76"/>
    <hyperlink r:id="rId40" ref="E77"/>
    <hyperlink r:id="rId41" ref="L77"/>
    <hyperlink r:id="rId42" ref="E78"/>
    <hyperlink r:id="rId43" ref="L78"/>
    <hyperlink r:id="rId44" ref="E79"/>
    <hyperlink r:id="rId45" ref="L79"/>
    <hyperlink r:id="rId46" ref="E80"/>
    <hyperlink r:id="rId47" ref="L80"/>
    <hyperlink r:id="rId48" ref="E81"/>
    <hyperlink r:id="rId49" ref="L81"/>
    <hyperlink r:id="rId50" ref="E82"/>
    <hyperlink r:id="rId51" ref="K82"/>
    <hyperlink r:id="rId52" ref="L82"/>
    <hyperlink r:id="rId53" ref="K87"/>
    <hyperlink r:id="rId54" ref="L87"/>
    <hyperlink r:id="rId55" ref="K88"/>
    <hyperlink r:id="rId56" ref="L88"/>
    <hyperlink r:id="rId57" ref="K89"/>
    <hyperlink r:id="rId58" ref="L89"/>
    <hyperlink r:id="rId59" ref="E90"/>
    <hyperlink r:id="rId60" ref="K90"/>
    <hyperlink r:id="rId61" ref="L90"/>
    <hyperlink r:id="rId62" ref="L100"/>
    <hyperlink r:id="rId63" ref="L101"/>
    <hyperlink r:id="rId64" ref="L104"/>
    <hyperlink r:id="rId65" ref="L105"/>
    <hyperlink r:id="rId66" ref="L106"/>
    <hyperlink r:id="rId67" ref="L107"/>
    <hyperlink r:id="rId68" ref="L108"/>
    <hyperlink r:id="rId69" ref="L112"/>
    <hyperlink r:id="rId70" ref="L116"/>
    <hyperlink r:id="rId71" ref="L119"/>
    <hyperlink r:id="rId72" ref="L120"/>
    <hyperlink r:id="rId73" ref="L121"/>
    <hyperlink r:id="rId74" ref="L122"/>
    <hyperlink r:id="rId75" ref="L123"/>
    <hyperlink r:id="rId76" ref="L126"/>
    <hyperlink r:id="rId77" ref="L127"/>
    <hyperlink r:id="rId78" ref="L129"/>
    <hyperlink r:id="rId79" ref="E136"/>
    <hyperlink r:id="rId80" ref="K136"/>
    <hyperlink r:id="rId81" ref="L136"/>
    <hyperlink r:id="rId82" ref="E137"/>
    <hyperlink r:id="rId83" ref="K137"/>
    <hyperlink r:id="rId84" ref="L137"/>
    <hyperlink r:id="rId85" ref="E138"/>
    <hyperlink r:id="rId86" ref="K138"/>
    <hyperlink r:id="rId87" ref="L138"/>
    <hyperlink r:id="rId88" ref="E139"/>
    <hyperlink r:id="rId89" ref="L139"/>
    <hyperlink r:id="rId90" ref="E146"/>
    <hyperlink r:id="rId91" ref="L146"/>
    <hyperlink r:id="rId92" ref="E147"/>
    <hyperlink r:id="rId93" ref="K147"/>
    <hyperlink r:id="rId94" ref="L147"/>
    <hyperlink r:id="rId95" ref="E148"/>
    <hyperlink r:id="rId96" ref="K148"/>
    <hyperlink r:id="rId97" ref="L148"/>
    <hyperlink r:id="rId98" ref="E149"/>
    <hyperlink r:id="rId99" ref="K149"/>
    <hyperlink r:id="rId100" ref="L149"/>
    <hyperlink r:id="rId101" ref="E150"/>
    <hyperlink r:id="rId102" ref="K150"/>
    <hyperlink r:id="rId103" ref="L150"/>
    <hyperlink r:id="rId104" ref="E156"/>
    <hyperlink r:id="rId105" ref="L156"/>
    <hyperlink r:id="rId106" ref="E164"/>
    <hyperlink r:id="rId107" ref="K164"/>
    <hyperlink r:id="rId108" ref="L164"/>
    <hyperlink r:id="rId109" ref="E175"/>
    <hyperlink r:id="rId110" ref="L175"/>
    <hyperlink r:id="rId111" ref="E176"/>
    <hyperlink r:id="rId112" ref="K176"/>
    <hyperlink r:id="rId113" ref="L176"/>
    <hyperlink r:id="rId114" ref="E177"/>
    <hyperlink r:id="rId115" ref="K177"/>
    <hyperlink r:id="rId116" ref="L177"/>
    <hyperlink r:id="rId117" ref="E178"/>
    <hyperlink r:id="rId118" ref="K178"/>
    <hyperlink r:id="rId119" ref="L178"/>
    <hyperlink r:id="rId120" ref="E179"/>
    <hyperlink r:id="rId121" ref="K179"/>
    <hyperlink r:id="rId122" ref="L179"/>
    <hyperlink r:id="rId123" ref="E189"/>
    <hyperlink r:id="rId124" ref="K189"/>
    <hyperlink r:id="rId125" ref="L189"/>
    <hyperlink r:id="rId126" ref="E190"/>
    <hyperlink r:id="rId127" ref="L190"/>
    <hyperlink r:id="rId128" ref="E196"/>
    <hyperlink r:id="rId129" ref="L196"/>
    <hyperlink r:id="rId130" ref="E201"/>
    <hyperlink r:id="rId131" ref="L201"/>
  </hyperlinks>
  <drawing r:id="rId132"/>
  <legacyDrawing r:id="rId13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7.5"/>
    <col customWidth="1" min="6" max="6" width="17.38"/>
    <col customWidth="1" min="13" max="13" width="16.25"/>
    <col customWidth="1" min="17" max="17" width="13.88"/>
    <col customWidth="1" min="18" max="18" width="16.63"/>
    <col customWidth="1" min="21" max="21" width="17.25"/>
  </cols>
  <sheetData>
    <row r="1">
      <c r="B1" s="1"/>
      <c r="C1" s="3" t="s">
        <v>0</v>
      </c>
      <c r="D1" s="4"/>
      <c r="E1" s="4"/>
      <c r="F1" s="6"/>
      <c r="I1" s="8" t="s">
        <v>4</v>
      </c>
      <c r="Q1" s="9"/>
      <c r="R1" s="11" t="s">
        <v>5</v>
      </c>
      <c r="S1" s="4"/>
      <c r="T1" s="4"/>
      <c r="U1" s="4"/>
      <c r="V1" s="6"/>
      <c r="X1" s="9"/>
      <c r="Y1" s="14" t="s">
        <v>7</v>
      </c>
      <c r="AF1" s="12"/>
      <c r="AG1" s="12"/>
    </row>
    <row r="2">
      <c r="B2" s="16" t="s">
        <v>10</v>
      </c>
      <c r="C2" s="18" t="s">
        <v>11</v>
      </c>
      <c r="D2" s="18" t="s">
        <v>13</v>
      </c>
      <c r="E2" s="18" t="s">
        <v>14</v>
      </c>
      <c r="F2" s="18" t="s">
        <v>15</v>
      </c>
      <c r="I2" s="16" t="s">
        <v>10</v>
      </c>
      <c r="J2" s="18" t="s">
        <v>11</v>
      </c>
      <c r="K2" s="18" t="s">
        <v>13</v>
      </c>
      <c r="L2" s="18" t="s">
        <v>14</v>
      </c>
      <c r="M2" s="18" t="s">
        <v>15</v>
      </c>
      <c r="N2" s="18" t="s">
        <v>16</v>
      </c>
      <c r="Q2" s="22" t="s">
        <v>10</v>
      </c>
      <c r="R2" s="23" t="s">
        <v>13</v>
      </c>
      <c r="S2" s="23" t="s">
        <v>11</v>
      </c>
      <c r="T2" s="23" t="s">
        <v>14</v>
      </c>
      <c r="U2" s="23" t="s">
        <v>15</v>
      </c>
      <c r="V2" s="23" t="s">
        <v>16</v>
      </c>
      <c r="X2" s="22" t="s">
        <v>10</v>
      </c>
      <c r="Y2" s="23" t="s">
        <v>13</v>
      </c>
      <c r="Z2" s="23" t="s">
        <v>11</v>
      </c>
      <c r="AA2" s="23" t="s">
        <v>14</v>
      </c>
      <c r="AB2" s="23" t="s">
        <v>15</v>
      </c>
      <c r="AC2" s="23" t="s">
        <v>16</v>
      </c>
      <c r="AF2" s="25"/>
      <c r="AG2" s="27"/>
      <c r="AH2" s="27"/>
      <c r="AI2" s="27"/>
      <c r="AJ2" s="27"/>
      <c r="AK2" s="27"/>
      <c r="AL2" s="29"/>
    </row>
    <row r="3" ht="21.0" customHeight="1">
      <c r="A3" s="31"/>
      <c r="B3" s="33">
        <v>46237.0</v>
      </c>
      <c r="C3" s="35" t="s">
        <v>19</v>
      </c>
      <c r="D3" s="35" t="s">
        <v>21</v>
      </c>
      <c r="E3" s="37">
        <v>51000.0</v>
      </c>
      <c r="F3" s="35" t="s">
        <v>23</v>
      </c>
      <c r="G3" s="31"/>
      <c r="H3" s="31"/>
      <c r="I3" s="32">
        <v>46235.0</v>
      </c>
      <c r="J3" s="34" t="s">
        <v>24</v>
      </c>
      <c r="K3" s="35" t="s">
        <v>26</v>
      </c>
      <c r="L3" s="41">
        <v>80000.0</v>
      </c>
      <c r="M3" s="34" t="s">
        <v>28</v>
      </c>
      <c r="N3" s="44">
        <v>46247.0</v>
      </c>
      <c r="O3" s="31"/>
      <c r="P3" s="31"/>
      <c r="Q3" s="32">
        <v>46234.0</v>
      </c>
      <c r="R3" s="34" t="s">
        <v>32</v>
      </c>
      <c r="S3" s="34" t="s">
        <v>33</v>
      </c>
      <c r="T3" s="41">
        <v>550000.0</v>
      </c>
      <c r="U3" s="34" t="s">
        <v>34</v>
      </c>
      <c r="V3" s="48">
        <v>46246.0</v>
      </c>
      <c r="W3" s="51"/>
      <c r="X3" s="33">
        <v>46235.0</v>
      </c>
      <c r="Y3" s="54" t="s">
        <v>40</v>
      </c>
      <c r="Z3" s="35" t="s">
        <v>42</v>
      </c>
      <c r="AA3" s="37">
        <v>94000.0</v>
      </c>
      <c r="AB3" s="35" t="s">
        <v>43</v>
      </c>
      <c r="AC3" s="33">
        <v>46247.0</v>
      </c>
      <c r="AD3" s="31"/>
      <c r="AE3" s="31"/>
      <c r="AF3" s="47"/>
      <c r="AG3" s="61"/>
      <c r="AH3" s="61"/>
      <c r="AI3" s="64"/>
      <c r="AK3" s="66"/>
      <c r="AL3" s="67"/>
      <c r="AM3" s="51"/>
      <c r="AN3" s="31"/>
      <c r="AO3" s="31"/>
      <c r="AP3" s="31"/>
      <c r="AQ3" s="31"/>
      <c r="AR3" s="31"/>
      <c r="AS3" s="31"/>
      <c r="AT3" s="31"/>
      <c r="AU3" s="31"/>
      <c r="AV3" s="31"/>
      <c r="AW3" s="31"/>
    </row>
    <row r="4">
      <c r="A4" s="31"/>
      <c r="B4" s="33">
        <v>46239.0</v>
      </c>
      <c r="C4" s="35" t="s">
        <v>53</v>
      </c>
      <c r="D4" s="35" t="s">
        <v>54</v>
      </c>
      <c r="E4" s="37">
        <v>89000.0</v>
      </c>
      <c r="F4" s="35" t="s">
        <v>56</v>
      </c>
      <c r="G4" s="31"/>
      <c r="H4" s="31"/>
      <c r="I4" s="32">
        <v>46237.0</v>
      </c>
      <c r="J4" s="34" t="s">
        <v>58</v>
      </c>
      <c r="K4" s="34" t="s">
        <v>59</v>
      </c>
      <c r="L4" s="41">
        <v>180000.0</v>
      </c>
      <c r="M4" s="34" t="s">
        <v>62</v>
      </c>
      <c r="N4" s="44">
        <v>46248.0</v>
      </c>
      <c r="O4" s="31"/>
      <c r="P4" s="31"/>
      <c r="Q4" s="32">
        <v>46231.0</v>
      </c>
      <c r="R4" s="34" t="s">
        <v>65</v>
      </c>
      <c r="S4" s="34" t="s">
        <v>67</v>
      </c>
      <c r="T4" s="41">
        <v>550000.0</v>
      </c>
      <c r="U4" s="34" t="s">
        <v>34</v>
      </c>
      <c r="V4" s="71"/>
      <c r="W4" s="51"/>
      <c r="X4" s="33">
        <v>46242.0</v>
      </c>
      <c r="Y4" s="35" t="s">
        <v>68</v>
      </c>
      <c r="Z4" s="78" t="s">
        <v>71</v>
      </c>
      <c r="AA4" s="80">
        <v>96000.0</v>
      </c>
      <c r="AB4" s="35" t="s">
        <v>75</v>
      </c>
      <c r="AC4" s="82">
        <v>46247.0</v>
      </c>
      <c r="AD4" s="31"/>
      <c r="AE4" s="31"/>
      <c r="AF4" s="84"/>
      <c r="AG4" s="61"/>
      <c r="AH4" s="61"/>
      <c r="AI4" s="64"/>
      <c r="AJ4" s="61"/>
      <c r="AK4" s="87"/>
      <c r="AL4" s="67"/>
      <c r="AM4" s="51"/>
      <c r="AN4" s="31"/>
      <c r="AO4" s="31"/>
      <c r="AP4" s="31"/>
      <c r="AQ4" s="31"/>
      <c r="AR4" s="31"/>
      <c r="AS4" s="31"/>
      <c r="AT4" s="31"/>
      <c r="AU4" s="31"/>
      <c r="AV4" s="31"/>
      <c r="AW4" s="31"/>
    </row>
    <row r="5">
      <c r="A5" s="31"/>
      <c r="B5" s="33">
        <v>46241.0</v>
      </c>
      <c r="C5" s="35" t="s">
        <v>87</v>
      </c>
      <c r="D5" s="35" t="s">
        <v>90</v>
      </c>
      <c r="E5" s="37">
        <v>263000.0</v>
      </c>
      <c r="F5" s="35" t="s">
        <v>91</v>
      </c>
      <c r="G5" s="31"/>
      <c r="H5" s="31"/>
      <c r="I5" s="93"/>
      <c r="J5" s="93"/>
      <c r="L5" s="93"/>
      <c r="M5" s="93"/>
      <c r="N5" s="93"/>
      <c r="O5" s="31"/>
      <c r="P5" s="31"/>
      <c r="Q5" s="32">
        <v>46233.0</v>
      </c>
      <c r="R5" s="34" t="s">
        <v>93</v>
      </c>
      <c r="S5" s="34" t="s">
        <v>94</v>
      </c>
      <c r="T5" s="41">
        <v>200000.0</v>
      </c>
      <c r="U5" s="34" t="s">
        <v>34</v>
      </c>
      <c r="V5" s="71"/>
      <c r="W5" s="51"/>
      <c r="X5" s="33">
        <v>46249.0</v>
      </c>
      <c r="Y5" s="97" t="s">
        <v>100</v>
      </c>
      <c r="Z5" s="35" t="s">
        <v>101</v>
      </c>
      <c r="AA5" s="37">
        <v>134000.0</v>
      </c>
      <c r="AB5" s="35" t="s">
        <v>104</v>
      </c>
      <c r="AC5" s="33"/>
      <c r="AD5" s="31"/>
      <c r="AE5" s="31"/>
      <c r="AF5" s="84"/>
      <c r="AG5" s="61"/>
      <c r="AH5" s="61"/>
      <c r="AI5" s="64"/>
      <c r="AJ5" s="61"/>
      <c r="AK5" s="87"/>
      <c r="AL5" s="67"/>
      <c r="AM5" s="51"/>
      <c r="AN5" s="31"/>
      <c r="AO5" s="31"/>
      <c r="AP5" s="31"/>
      <c r="AQ5" s="31"/>
      <c r="AR5" s="31"/>
      <c r="AS5" s="31"/>
      <c r="AT5" s="31"/>
      <c r="AU5" s="31"/>
      <c r="AV5" s="31"/>
      <c r="AW5" s="31"/>
    </row>
    <row r="6" ht="57.75" customHeight="1">
      <c r="A6" s="31"/>
      <c r="B6" s="33">
        <v>46250.0</v>
      </c>
      <c r="C6" s="35" t="s">
        <v>110</v>
      </c>
      <c r="D6" s="35" t="s">
        <v>111</v>
      </c>
      <c r="E6" s="37">
        <v>89000.0</v>
      </c>
      <c r="F6" s="35" t="s">
        <v>112</v>
      </c>
      <c r="G6" s="31"/>
      <c r="H6" s="31"/>
      <c r="I6" s="33"/>
      <c r="J6" s="35"/>
      <c r="K6" s="35"/>
      <c r="L6" s="37"/>
      <c r="M6" s="35"/>
      <c r="N6" s="105"/>
      <c r="O6" s="31"/>
      <c r="P6" s="31"/>
      <c r="Q6" s="32">
        <v>46239.0</v>
      </c>
      <c r="R6" s="34" t="s">
        <v>21</v>
      </c>
      <c r="S6" s="34" t="s">
        <v>124</v>
      </c>
      <c r="T6" s="41">
        <v>400000.0</v>
      </c>
      <c r="U6" s="34" t="s">
        <v>34</v>
      </c>
      <c r="V6" s="71"/>
      <c r="W6" s="51"/>
      <c r="X6" s="109">
        <v>46256.0</v>
      </c>
      <c r="Y6" s="110" t="s">
        <v>132</v>
      </c>
      <c r="Z6" s="110" t="s">
        <v>135</v>
      </c>
      <c r="AA6" s="111">
        <v>76000.0</v>
      </c>
      <c r="AB6" s="110" t="s">
        <v>138</v>
      </c>
      <c r="AC6" s="1"/>
      <c r="AD6" s="31"/>
      <c r="AE6" s="31"/>
      <c r="AF6" s="87"/>
      <c r="AG6" s="61"/>
      <c r="AH6" s="61"/>
      <c r="AI6" s="64"/>
      <c r="AJ6" s="61"/>
      <c r="AK6" s="84"/>
      <c r="AL6" s="67"/>
      <c r="AM6" s="51"/>
      <c r="AN6" s="31"/>
      <c r="AO6" s="31"/>
      <c r="AP6" s="31"/>
      <c r="AQ6" s="31"/>
      <c r="AR6" s="31"/>
      <c r="AS6" s="31"/>
      <c r="AT6" s="31"/>
      <c r="AU6" s="31"/>
      <c r="AV6" s="31"/>
      <c r="AW6" s="31"/>
    </row>
    <row r="7" ht="18.75" customHeight="1">
      <c r="B7" s="33">
        <v>46241.0</v>
      </c>
      <c r="C7" s="35" t="s">
        <v>87</v>
      </c>
      <c r="D7" s="35" t="s">
        <v>90</v>
      </c>
      <c r="E7" s="37">
        <v>263000.0</v>
      </c>
      <c r="F7" s="35" t="s">
        <v>151</v>
      </c>
      <c r="Q7" s="32">
        <v>46239.0</v>
      </c>
      <c r="R7" s="34" t="s">
        <v>154</v>
      </c>
      <c r="S7" s="34" t="s">
        <v>155</v>
      </c>
      <c r="T7" s="41">
        <v>350000.0</v>
      </c>
      <c r="U7" s="34" t="s">
        <v>34</v>
      </c>
      <c r="V7" s="96"/>
      <c r="W7" s="7"/>
      <c r="X7" s="1"/>
      <c r="Y7" s="1"/>
      <c r="Z7" s="1"/>
      <c r="AA7" s="1"/>
      <c r="AB7" s="1"/>
      <c r="AC7" s="1"/>
      <c r="AF7" s="87"/>
      <c r="AG7" s="61"/>
      <c r="AH7" s="61"/>
      <c r="AI7" s="64"/>
      <c r="AJ7" s="61"/>
      <c r="AK7" s="71"/>
      <c r="AL7" s="67"/>
      <c r="AM7" s="51"/>
    </row>
    <row r="8" ht="38.25" customHeight="1">
      <c r="B8" s="33">
        <v>46243.0</v>
      </c>
      <c r="C8" s="35" t="s">
        <v>169</v>
      </c>
      <c r="D8" s="35" t="s">
        <v>171</v>
      </c>
      <c r="E8" s="37">
        <v>379000.0</v>
      </c>
      <c r="F8" s="35" t="s">
        <v>173</v>
      </c>
      <c r="Q8" s="32">
        <v>46248.0</v>
      </c>
      <c r="R8" s="34" t="s">
        <v>176</v>
      </c>
      <c r="S8" s="34" t="s">
        <v>177</v>
      </c>
      <c r="T8" s="41">
        <v>1300000.0</v>
      </c>
      <c r="U8" s="34" t="s">
        <v>34</v>
      </c>
      <c r="V8" s="48"/>
      <c r="W8" s="7"/>
      <c r="X8" s="93"/>
      <c r="Y8" s="101"/>
      <c r="Z8" s="101"/>
      <c r="AA8" s="126"/>
      <c r="AB8" s="101"/>
      <c r="AC8" s="101"/>
      <c r="AD8" s="95"/>
      <c r="AF8" s="87"/>
      <c r="AG8" s="61"/>
      <c r="AH8" s="61"/>
      <c r="AI8" s="64"/>
      <c r="AJ8" s="61"/>
      <c r="AK8" s="96"/>
      <c r="AL8" s="67"/>
      <c r="AM8" s="51"/>
    </row>
    <row r="9" ht="39.75" customHeight="1">
      <c r="B9" s="33">
        <v>46243.0</v>
      </c>
      <c r="C9" s="35" t="s">
        <v>189</v>
      </c>
      <c r="D9" s="35" t="s">
        <v>192</v>
      </c>
      <c r="E9" s="37">
        <v>293000.0</v>
      </c>
      <c r="F9" s="35" t="s">
        <v>196</v>
      </c>
      <c r="Q9" s="32">
        <v>46243.0</v>
      </c>
      <c r="R9" s="34" t="s">
        <v>171</v>
      </c>
      <c r="S9" s="34" t="s">
        <v>201</v>
      </c>
      <c r="T9" s="41">
        <v>550000.0</v>
      </c>
      <c r="U9" s="34" t="s">
        <v>34</v>
      </c>
      <c r="V9" s="71"/>
      <c r="W9" s="7"/>
      <c r="X9" s="93"/>
      <c r="Y9" s="101"/>
      <c r="Z9" s="101"/>
      <c r="AA9" s="101"/>
      <c r="AB9" s="101"/>
      <c r="AC9" s="101"/>
      <c r="AD9" s="95"/>
      <c r="AF9" s="87"/>
      <c r="AG9" s="61"/>
      <c r="AH9" s="61"/>
      <c r="AI9" s="64"/>
      <c r="AJ9" s="61"/>
      <c r="AK9" s="87"/>
      <c r="AL9" s="67"/>
      <c r="AM9" s="51"/>
    </row>
    <row r="10" ht="30.75" customHeight="1">
      <c r="B10" s="33">
        <v>46254.0</v>
      </c>
      <c r="C10" s="35" t="s">
        <v>207</v>
      </c>
      <c r="D10" s="35" t="s">
        <v>209</v>
      </c>
      <c r="E10" s="37">
        <v>578000.0</v>
      </c>
      <c r="F10" s="35" t="s">
        <v>212</v>
      </c>
      <c r="Q10" s="32">
        <v>46247.0</v>
      </c>
      <c r="R10" s="34" t="s">
        <v>214</v>
      </c>
      <c r="S10" s="34" t="s">
        <v>216</v>
      </c>
      <c r="T10" s="144">
        <f>1100000-700000</f>
        <v>400000</v>
      </c>
      <c r="U10" s="34" t="s">
        <v>34</v>
      </c>
      <c r="V10" s="71"/>
      <c r="W10" s="7"/>
      <c r="X10" s="7"/>
      <c r="Y10" s="7"/>
      <c r="Z10" s="7"/>
      <c r="AA10" s="7"/>
      <c r="AB10" s="7"/>
      <c r="AC10" s="7"/>
      <c r="AF10" s="87"/>
      <c r="AG10" s="61"/>
      <c r="AH10" s="61"/>
      <c r="AI10" s="64"/>
      <c r="AJ10" s="61"/>
      <c r="AK10" s="87"/>
      <c r="AL10" s="67"/>
      <c r="AM10" s="51"/>
    </row>
    <row r="11">
      <c r="B11" s="33">
        <v>46253.0</v>
      </c>
      <c r="C11" s="35" t="s">
        <v>250</v>
      </c>
      <c r="D11" s="35" t="s">
        <v>253</v>
      </c>
      <c r="E11" s="37">
        <v>70000.0</v>
      </c>
      <c r="F11" s="35" t="s">
        <v>256</v>
      </c>
      <c r="G11" s="119"/>
      <c r="I11" s="121" t="s">
        <v>260</v>
      </c>
      <c r="J11" s="4"/>
      <c r="K11" s="4"/>
      <c r="L11" s="4"/>
      <c r="M11" s="4"/>
      <c r="N11" s="6"/>
      <c r="Q11" s="32">
        <v>46247.0</v>
      </c>
      <c r="R11" s="124" t="s">
        <v>269</v>
      </c>
      <c r="S11" s="77" t="s">
        <v>274</v>
      </c>
      <c r="T11" s="150">
        <f>1200000-940000</f>
        <v>260000</v>
      </c>
      <c r="U11" s="34" t="s">
        <v>34</v>
      </c>
      <c r="V11" s="96"/>
      <c r="W11" s="7"/>
      <c r="X11" s="7"/>
      <c r="Y11" s="7"/>
      <c r="Z11" s="7"/>
      <c r="AA11" s="7"/>
      <c r="AB11" s="7"/>
      <c r="AC11" s="7"/>
      <c r="AF11" s="151"/>
      <c r="AG11" s="152"/>
      <c r="AH11" s="152"/>
      <c r="AI11" s="154"/>
      <c r="AJ11" s="61"/>
      <c r="AK11" s="155"/>
      <c r="AL11" s="156"/>
      <c r="AM11" s="7"/>
    </row>
    <row r="12">
      <c r="B12" s="33">
        <v>46250.0</v>
      </c>
      <c r="C12" s="35" t="s">
        <v>306</v>
      </c>
      <c r="D12" s="35" t="s">
        <v>176</v>
      </c>
      <c r="E12" s="37">
        <v>149000.0</v>
      </c>
      <c r="F12" s="35" t="s">
        <v>308</v>
      </c>
      <c r="G12" s="157"/>
      <c r="H12" s="7"/>
      <c r="I12" s="16" t="s">
        <v>10</v>
      </c>
      <c r="J12" s="18" t="s">
        <v>11</v>
      </c>
      <c r="K12" s="18" t="s">
        <v>13</v>
      </c>
      <c r="L12" s="18" t="s">
        <v>14</v>
      </c>
      <c r="M12" s="18" t="s">
        <v>15</v>
      </c>
      <c r="N12" s="18" t="s">
        <v>16</v>
      </c>
      <c r="Q12" s="160"/>
      <c r="R12" s="161"/>
      <c r="S12" s="162"/>
      <c r="T12" s="168">
        <f>SUM(T8:T11)</f>
        <v>2510000</v>
      </c>
      <c r="U12" s="169"/>
      <c r="V12" s="170"/>
      <c r="W12" s="7"/>
      <c r="X12" s="7"/>
      <c r="Y12" s="7"/>
      <c r="Z12" s="7"/>
      <c r="AA12" s="7"/>
      <c r="AB12" s="7"/>
      <c r="AC12" s="7"/>
      <c r="AF12" s="156"/>
      <c r="AG12" s="156"/>
      <c r="AH12" s="156"/>
      <c r="AI12" s="171"/>
      <c r="AJ12" s="156"/>
      <c r="AK12" s="156"/>
      <c r="AL12" s="156"/>
      <c r="AM12" s="7"/>
    </row>
    <row r="13">
      <c r="B13" s="33">
        <v>46247.0</v>
      </c>
      <c r="C13" s="35" t="s">
        <v>358</v>
      </c>
      <c r="D13" s="35" t="s">
        <v>361</v>
      </c>
      <c r="E13" s="37">
        <v>161000.0</v>
      </c>
      <c r="F13" s="35" t="s">
        <v>366</v>
      </c>
      <c r="G13" s="157"/>
      <c r="H13" s="7"/>
      <c r="I13" s="172">
        <v>46239.0</v>
      </c>
      <c r="J13" s="173" t="s">
        <v>154</v>
      </c>
      <c r="K13" s="173" t="s">
        <v>372</v>
      </c>
      <c r="L13" s="111">
        <v>1100000.0</v>
      </c>
      <c r="M13" s="173" t="s">
        <v>34</v>
      </c>
      <c r="N13" s="32">
        <v>46247.0</v>
      </c>
      <c r="Q13" s="160"/>
      <c r="R13" s="162"/>
      <c r="S13" s="162"/>
      <c r="T13" s="168"/>
      <c r="U13" s="169"/>
      <c r="V13" s="175"/>
      <c r="W13" s="7"/>
      <c r="X13" s="7"/>
      <c r="Y13" s="7"/>
      <c r="Z13" s="7"/>
      <c r="AA13" s="7"/>
      <c r="AB13" s="7"/>
      <c r="AC13" s="7"/>
      <c r="AF13" s="156"/>
      <c r="AG13" s="156"/>
      <c r="AH13" s="156"/>
      <c r="AI13" s="156"/>
      <c r="AJ13" s="156"/>
      <c r="AK13" s="156"/>
      <c r="AL13" s="156"/>
      <c r="AM13" s="7"/>
    </row>
    <row r="14">
      <c r="B14" s="33">
        <v>46246.0</v>
      </c>
      <c r="C14" s="35" t="s">
        <v>384</v>
      </c>
      <c r="D14" s="35" t="s">
        <v>269</v>
      </c>
      <c r="E14" s="37">
        <v>86000.0</v>
      </c>
      <c r="F14" s="35" t="s">
        <v>386</v>
      </c>
      <c r="G14" s="157"/>
      <c r="H14" s="7"/>
      <c r="I14" s="172">
        <v>46242.0</v>
      </c>
      <c r="J14" s="177" t="s">
        <v>192</v>
      </c>
      <c r="K14" s="178" t="s">
        <v>395</v>
      </c>
      <c r="L14" s="179">
        <v>500000.0</v>
      </c>
      <c r="M14" s="187" t="s">
        <v>400</v>
      </c>
      <c r="N14" s="1"/>
      <c r="Q14" s="160"/>
      <c r="R14" s="162"/>
      <c r="S14" s="162"/>
      <c r="T14" s="168"/>
      <c r="U14" s="169"/>
      <c r="V14" s="188"/>
      <c r="W14" s="7"/>
      <c r="X14" s="7"/>
      <c r="Y14" s="7"/>
      <c r="Z14" s="7"/>
      <c r="AA14" s="7"/>
      <c r="AB14" s="7"/>
      <c r="AC14" s="7"/>
      <c r="AF14" s="29"/>
      <c r="AG14" s="29"/>
      <c r="AH14" s="29"/>
      <c r="AI14" s="29"/>
      <c r="AJ14" s="29"/>
      <c r="AK14" s="29"/>
      <c r="AL14" s="29"/>
    </row>
    <row r="15">
      <c r="B15" s="33">
        <v>46246.0</v>
      </c>
      <c r="C15" s="35" t="s">
        <v>426</v>
      </c>
      <c r="D15" s="35" t="s">
        <v>427</v>
      </c>
      <c r="E15" s="37">
        <v>221000.0</v>
      </c>
      <c r="F15" s="35" t="s">
        <v>428</v>
      </c>
      <c r="G15" s="157"/>
      <c r="H15" s="7"/>
      <c r="I15" s="172">
        <v>46254.0</v>
      </c>
      <c r="J15" s="173" t="s">
        <v>429</v>
      </c>
      <c r="K15" s="192" t="s">
        <v>430</v>
      </c>
      <c r="L15" s="195">
        <v>800000.0</v>
      </c>
      <c r="M15" s="173" t="s">
        <v>436</v>
      </c>
      <c r="N15" s="1"/>
      <c r="Q15" s="160"/>
      <c r="R15" s="161"/>
      <c r="S15" s="162"/>
      <c r="T15" s="197"/>
      <c r="U15" s="169"/>
      <c r="V15" s="198"/>
      <c r="W15" s="7"/>
      <c r="X15" s="7"/>
      <c r="Y15" s="7"/>
      <c r="Z15" s="7"/>
      <c r="AA15" s="7"/>
      <c r="AB15" s="7"/>
      <c r="AC15" s="7"/>
    </row>
    <row r="16">
      <c r="B16" s="33">
        <v>46239.0</v>
      </c>
      <c r="C16" s="35" t="s">
        <v>53</v>
      </c>
      <c r="D16" s="200" t="s">
        <v>54</v>
      </c>
      <c r="E16" s="37">
        <v>89000.0</v>
      </c>
      <c r="F16" s="35" t="s">
        <v>438</v>
      </c>
      <c r="G16" s="200"/>
      <c r="H16" s="7"/>
      <c r="K16" s="202"/>
      <c r="Q16" s="160"/>
      <c r="R16" s="203"/>
      <c r="S16" s="205"/>
      <c r="T16" s="197"/>
      <c r="U16" s="169"/>
      <c r="V16" s="157"/>
      <c r="W16" s="7"/>
      <c r="X16" s="7"/>
      <c r="Y16" s="7"/>
      <c r="Z16" s="7"/>
      <c r="AA16" s="7"/>
      <c r="AB16" s="7"/>
      <c r="AC16" s="7"/>
    </row>
    <row r="17">
      <c r="B17" s="33">
        <v>46240.0</v>
      </c>
      <c r="C17" s="35" t="s">
        <v>447</v>
      </c>
      <c r="D17" s="35" t="s">
        <v>448</v>
      </c>
      <c r="E17" s="37">
        <v>335000.0</v>
      </c>
      <c r="F17" s="35" t="s">
        <v>451</v>
      </c>
      <c r="G17" s="157"/>
      <c r="H17" s="7"/>
      <c r="T17" s="7"/>
      <c r="U17" s="7"/>
      <c r="V17" s="7"/>
      <c r="W17" s="7"/>
      <c r="X17" s="7"/>
      <c r="Y17" s="7"/>
      <c r="Z17" s="7"/>
      <c r="AA17" s="7"/>
      <c r="AB17" s="7"/>
      <c r="AC17" s="7"/>
    </row>
    <row r="18" ht="18.75" customHeight="1">
      <c r="B18" s="33">
        <v>46234.0</v>
      </c>
      <c r="C18" s="165" t="s">
        <v>454</v>
      </c>
      <c r="D18" s="165" t="s">
        <v>456</v>
      </c>
      <c r="E18" s="212">
        <v>161000.0</v>
      </c>
      <c r="F18" s="165" t="s">
        <v>459</v>
      </c>
      <c r="G18" s="157"/>
      <c r="H18" s="7"/>
      <c r="T18" s="7"/>
      <c r="U18" s="7"/>
      <c r="V18" s="7"/>
      <c r="W18" s="7"/>
      <c r="X18" s="7"/>
      <c r="Y18" s="7"/>
      <c r="Z18" s="7"/>
      <c r="AA18" s="7"/>
      <c r="AB18" s="7"/>
      <c r="AC18" s="7"/>
    </row>
    <row r="19">
      <c r="B19" s="33">
        <v>46233.0</v>
      </c>
      <c r="C19" s="165" t="s">
        <v>462</v>
      </c>
      <c r="D19" s="165" t="s">
        <v>465</v>
      </c>
      <c r="E19" s="212">
        <v>122000.0</v>
      </c>
      <c r="F19" s="165" t="s">
        <v>467</v>
      </c>
      <c r="G19" s="217"/>
      <c r="H19" s="7"/>
      <c r="S19" s="219"/>
      <c r="T19" s="7"/>
      <c r="U19" s="7"/>
      <c r="V19" s="7"/>
      <c r="W19" s="7"/>
      <c r="X19" s="7"/>
      <c r="Y19" s="7"/>
      <c r="Z19" s="7"/>
      <c r="AA19" s="7"/>
      <c r="AB19" s="7"/>
      <c r="AC19" s="7"/>
    </row>
    <row r="20">
      <c r="A20" s="7"/>
      <c r="B20" s="33">
        <v>46238.0</v>
      </c>
      <c r="C20" s="165" t="s">
        <v>477</v>
      </c>
      <c r="D20" s="35" t="s">
        <v>479</v>
      </c>
      <c r="E20" s="212">
        <v>403000.0</v>
      </c>
      <c r="F20" s="165" t="s">
        <v>482</v>
      </c>
      <c r="G20" s="197"/>
      <c r="H20" s="221"/>
      <c r="I20" s="7"/>
      <c r="J20" s="7"/>
      <c r="K20" s="7"/>
      <c r="L20" s="7"/>
      <c r="M20" s="7"/>
      <c r="N20" s="7"/>
      <c r="O20" s="7"/>
      <c r="P20" s="7"/>
      <c r="Q20" s="7"/>
      <c r="R20" s="7"/>
      <c r="S20" s="221"/>
      <c r="T20" s="7"/>
      <c r="U20" s="7"/>
      <c r="V20" s="7"/>
      <c r="W20" s="7"/>
      <c r="X20" s="9"/>
      <c r="Y20" s="14" t="s">
        <v>170</v>
      </c>
      <c r="AD20" s="7"/>
      <c r="AE20" s="7"/>
      <c r="AF20" s="7"/>
      <c r="AG20" s="7"/>
      <c r="AH20" s="7"/>
      <c r="AI20" s="7"/>
      <c r="AJ20" s="7"/>
      <c r="AK20" s="7"/>
      <c r="AL20" s="7"/>
      <c r="AM20" s="7"/>
      <c r="AN20" s="7"/>
      <c r="AO20" s="7"/>
      <c r="AP20" s="7"/>
      <c r="AQ20" s="7"/>
      <c r="AR20" s="7"/>
      <c r="AS20" s="7"/>
      <c r="AT20" s="7"/>
      <c r="AU20" s="7"/>
      <c r="AV20" s="7"/>
      <c r="AW20" s="7"/>
    </row>
    <row r="21">
      <c r="B21" s="33">
        <v>46238.0</v>
      </c>
      <c r="C21" s="35" t="s">
        <v>489</v>
      </c>
      <c r="D21" s="56" t="s">
        <v>154</v>
      </c>
      <c r="E21" s="228">
        <v>233000.0</v>
      </c>
      <c r="F21" s="35" t="s">
        <v>496</v>
      </c>
      <c r="G21" s="169"/>
      <c r="H21" s="7"/>
      <c r="L21" s="232" t="s">
        <v>499</v>
      </c>
      <c r="M21" s="4"/>
      <c r="N21" s="4"/>
      <c r="O21" s="4"/>
      <c r="P21" s="4"/>
      <c r="Q21" s="6"/>
      <c r="T21" s="7"/>
      <c r="U21" s="7"/>
      <c r="V21" s="7"/>
      <c r="W21" s="7"/>
      <c r="X21" s="22" t="s">
        <v>10</v>
      </c>
      <c r="Y21" s="23" t="s">
        <v>13</v>
      </c>
      <c r="Z21" s="23" t="s">
        <v>11</v>
      </c>
      <c r="AA21" s="23" t="s">
        <v>14</v>
      </c>
      <c r="AB21" s="23" t="s">
        <v>15</v>
      </c>
      <c r="AC21" s="23" t="s">
        <v>16</v>
      </c>
    </row>
    <row r="22">
      <c r="B22" s="33">
        <v>46236.0</v>
      </c>
      <c r="C22" s="165" t="s">
        <v>505</v>
      </c>
      <c r="D22" s="56" t="s">
        <v>506</v>
      </c>
      <c r="E22" s="236">
        <v>218000.0</v>
      </c>
      <c r="F22" s="165" t="s">
        <v>508</v>
      </c>
      <c r="G22" s="169"/>
      <c r="H22" s="7"/>
      <c r="L22" s="16" t="s">
        <v>10</v>
      </c>
      <c r="M22" s="18" t="s">
        <v>11</v>
      </c>
      <c r="N22" s="18" t="s">
        <v>13</v>
      </c>
      <c r="O22" s="18" t="s">
        <v>14</v>
      </c>
      <c r="P22" s="18" t="s">
        <v>15</v>
      </c>
      <c r="Q22" s="18" t="s">
        <v>16</v>
      </c>
      <c r="X22" s="238">
        <v>46249.0</v>
      </c>
      <c r="Y22" s="239" t="s">
        <v>511</v>
      </c>
      <c r="Z22" s="239" t="s">
        <v>512</v>
      </c>
      <c r="AA22" s="240">
        <v>150000.0</v>
      </c>
      <c r="AB22" s="77" t="s">
        <v>517</v>
      </c>
      <c r="AC22" s="241"/>
    </row>
    <row r="23">
      <c r="B23" s="33">
        <v>46252.0</v>
      </c>
      <c r="C23" s="165" t="s">
        <v>519</v>
      </c>
      <c r="D23" s="165" t="s">
        <v>521</v>
      </c>
      <c r="E23" s="212">
        <v>924000.0</v>
      </c>
      <c r="F23" s="165" t="s">
        <v>522</v>
      </c>
      <c r="G23" s="169"/>
      <c r="H23" s="7"/>
      <c r="L23" s="172">
        <v>46235.0</v>
      </c>
      <c r="M23" s="110" t="s">
        <v>525</v>
      </c>
      <c r="N23" s="110"/>
      <c r="O23" s="244">
        <v>350000.0</v>
      </c>
      <c r="P23" s="110" t="s">
        <v>526</v>
      </c>
      <c r="Q23" s="105">
        <v>46246.0</v>
      </c>
      <c r="X23" s="238">
        <v>46253.0</v>
      </c>
      <c r="Y23" s="239" t="s">
        <v>527</v>
      </c>
      <c r="Z23" s="239" t="s">
        <v>528</v>
      </c>
      <c r="AA23" s="240">
        <v>550000.0</v>
      </c>
      <c r="AB23" s="77" t="s">
        <v>517</v>
      </c>
      <c r="AC23" s="241"/>
    </row>
    <row r="24">
      <c r="B24" s="33">
        <v>46253.0</v>
      </c>
      <c r="C24" s="165" t="s">
        <v>531</v>
      </c>
      <c r="D24" s="165" t="s">
        <v>532</v>
      </c>
      <c r="E24" s="212">
        <v>197000.0</v>
      </c>
      <c r="F24" s="165" t="s">
        <v>534</v>
      </c>
      <c r="G24" s="169"/>
      <c r="H24" s="7"/>
      <c r="L24" s="172">
        <v>46243.0</v>
      </c>
      <c r="M24" s="110" t="s">
        <v>536</v>
      </c>
      <c r="N24" s="110"/>
      <c r="O24" s="244">
        <v>200000.0</v>
      </c>
      <c r="P24" s="110" t="s">
        <v>526</v>
      </c>
      <c r="Q24" s="186"/>
      <c r="X24" s="238">
        <v>46241.0</v>
      </c>
      <c r="Y24" s="110" t="s">
        <v>90</v>
      </c>
      <c r="Z24" s="110" t="s">
        <v>537</v>
      </c>
      <c r="AA24" s="240">
        <v>550000.0</v>
      </c>
      <c r="AB24" s="77" t="s">
        <v>517</v>
      </c>
      <c r="AC24" s="186"/>
    </row>
    <row r="25">
      <c r="A25" s="7"/>
      <c r="B25" s="250">
        <v>46254.0</v>
      </c>
      <c r="C25" s="165" t="s">
        <v>539</v>
      </c>
      <c r="D25" s="165" t="s">
        <v>540</v>
      </c>
      <c r="E25" s="212">
        <v>161000.0</v>
      </c>
      <c r="F25" s="165" t="s">
        <v>541</v>
      </c>
      <c r="G25" s="169"/>
      <c r="H25" s="7"/>
      <c r="I25" s="7"/>
      <c r="J25" s="7"/>
      <c r="K25" s="7"/>
      <c r="L25" s="251">
        <v>46249.0</v>
      </c>
      <c r="M25" s="140"/>
      <c r="N25" s="165"/>
      <c r="O25" s="212">
        <v>950000.0</v>
      </c>
      <c r="P25" s="165" t="s">
        <v>526</v>
      </c>
      <c r="Q25" s="140"/>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row>
    <row r="26">
      <c r="A26" s="7"/>
      <c r="B26" s="250">
        <v>46254.0</v>
      </c>
      <c r="C26" s="173" t="s">
        <v>550</v>
      </c>
      <c r="D26" s="110" t="s">
        <v>209</v>
      </c>
      <c r="E26" s="244">
        <v>578000.0</v>
      </c>
      <c r="F26" s="165" t="s">
        <v>551</v>
      </c>
      <c r="G26" s="169"/>
      <c r="H26" s="7"/>
      <c r="I26" s="7"/>
      <c r="J26" s="7"/>
      <c r="K26" s="7"/>
      <c r="L26" s="251">
        <v>46257.0</v>
      </c>
      <c r="M26" s="165" t="s">
        <v>554</v>
      </c>
      <c r="N26" s="165"/>
      <c r="O26" s="212">
        <v>350000.0</v>
      </c>
      <c r="P26" s="165" t="s">
        <v>526</v>
      </c>
      <c r="Q26" s="140"/>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row>
    <row r="27">
      <c r="A27" s="7"/>
      <c r="B27" s="259"/>
      <c r="C27" s="72"/>
      <c r="D27" s="72"/>
      <c r="E27" s="1"/>
      <c r="F27" s="72"/>
      <c r="G27" s="169"/>
      <c r="H27" s="7"/>
      <c r="I27" s="7"/>
      <c r="J27" s="7"/>
      <c r="K27" s="7"/>
      <c r="L27" s="109"/>
      <c r="M27" s="70"/>
      <c r="N27" s="165"/>
      <c r="O27" s="212"/>
      <c r="P27" s="70"/>
      <c r="Q27" s="70"/>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row>
    <row r="28">
      <c r="A28" s="147"/>
      <c r="B28" s="259"/>
      <c r="C28" s="35"/>
      <c r="D28" s="72"/>
      <c r="E28" s="37"/>
      <c r="F28" s="35"/>
      <c r="G28" s="169"/>
      <c r="H28" s="147"/>
      <c r="I28" s="147"/>
      <c r="J28" s="147"/>
      <c r="K28" s="147"/>
      <c r="L28" s="147"/>
      <c r="M28" s="147"/>
      <c r="N28" s="147"/>
      <c r="O28" s="147"/>
      <c r="P28" s="147"/>
      <c r="Q28" s="147"/>
      <c r="R28" s="147"/>
      <c r="S28" s="147"/>
      <c r="T28" s="147"/>
      <c r="U28" s="147"/>
      <c r="V28" s="147"/>
      <c r="W28" s="147"/>
      <c r="X28" s="147"/>
      <c r="Y28" s="147"/>
      <c r="Z28" s="147"/>
      <c r="AA28" s="147"/>
      <c r="AB28" s="147"/>
      <c r="AC28" s="147"/>
      <c r="AD28" s="147"/>
      <c r="AE28" s="147"/>
      <c r="AF28" s="147"/>
      <c r="AG28" s="147"/>
      <c r="AH28" s="147"/>
      <c r="AI28" s="147"/>
      <c r="AJ28" s="147"/>
      <c r="AK28" s="147"/>
      <c r="AL28" s="147"/>
      <c r="AM28" s="147"/>
      <c r="AN28" s="147"/>
      <c r="AO28" s="147"/>
      <c r="AP28" s="147"/>
      <c r="AQ28" s="147"/>
      <c r="AR28" s="147"/>
      <c r="AS28" s="147"/>
      <c r="AT28" s="147"/>
      <c r="AU28" s="147"/>
      <c r="AV28" s="147"/>
      <c r="AW28" s="147"/>
    </row>
    <row r="29">
      <c r="B29" s="259"/>
      <c r="C29" s="35"/>
      <c r="D29" s="165"/>
      <c r="E29" s="262">
        <f>SUM(E3:E26)</f>
        <v>6113000</v>
      </c>
      <c r="F29" s="165"/>
      <c r="G29" s="169"/>
      <c r="H29" s="7"/>
    </row>
    <row r="30">
      <c r="B30" s="259"/>
      <c r="C30" s="165"/>
      <c r="D30" s="165"/>
      <c r="E30" s="150">
        <f>E29+1519000</f>
        <v>7632000</v>
      </c>
      <c r="F30" s="165"/>
      <c r="G30" s="169"/>
      <c r="H30" s="7"/>
    </row>
    <row r="31">
      <c r="B31" s="259"/>
      <c r="C31" s="165"/>
      <c r="D31" s="165"/>
      <c r="E31" s="212"/>
      <c r="F31" s="165"/>
      <c r="G31" s="169"/>
      <c r="H31" s="7"/>
    </row>
    <row r="32">
      <c r="B32" s="259"/>
      <c r="C32" s="165"/>
      <c r="D32" s="165"/>
      <c r="E32" s="212"/>
      <c r="F32" s="265"/>
      <c r="G32" s="7"/>
      <c r="H32" s="7"/>
      <c r="L32" s="232" t="s">
        <v>587</v>
      </c>
      <c r="M32" s="4"/>
      <c r="N32" s="4"/>
      <c r="O32" s="4"/>
      <c r="P32" s="4"/>
      <c r="Q32" s="6"/>
    </row>
    <row r="33">
      <c r="B33" s="259"/>
      <c r="C33" s="165"/>
      <c r="D33" s="165"/>
      <c r="E33" s="212"/>
      <c r="F33" s="265"/>
      <c r="G33" s="7"/>
      <c r="H33" s="7"/>
      <c r="L33" s="16" t="s">
        <v>10</v>
      </c>
      <c r="M33" s="18" t="s">
        <v>11</v>
      </c>
      <c r="N33" s="18" t="s">
        <v>13</v>
      </c>
      <c r="O33" s="18" t="s">
        <v>14</v>
      </c>
      <c r="P33" s="18" t="s">
        <v>15</v>
      </c>
      <c r="Q33" s="18" t="s">
        <v>16</v>
      </c>
    </row>
    <row r="34">
      <c r="B34" s="259"/>
      <c r="C34" s="165"/>
      <c r="D34" s="165"/>
      <c r="E34" s="212"/>
      <c r="F34" s="265"/>
      <c r="G34" s="7"/>
      <c r="H34" s="276"/>
      <c r="L34" s="54" t="s">
        <v>597</v>
      </c>
      <c r="M34" s="164" t="s">
        <v>599</v>
      </c>
      <c r="N34" s="54" t="s">
        <v>603</v>
      </c>
      <c r="O34" s="279">
        <v>150000.0</v>
      </c>
      <c r="P34" s="281" t="s">
        <v>29</v>
      </c>
      <c r="Q34" s="1"/>
    </row>
    <row r="35">
      <c r="B35" s="259"/>
      <c r="C35" s="165"/>
      <c r="D35" s="200"/>
      <c r="E35" s="212"/>
      <c r="F35" s="265"/>
      <c r="G35" s="7"/>
      <c r="H35" s="7"/>
      <c r="L35" s="54" t="s">
        <v>611</v>
      </c>
      <c r="M35" s="164" t="s">
        <v>612</v>
      </c>
      <c r="N35" s="54" t="s">
        <v>615</v>
      </c>
      <c r="O35" s="279">
        <v>70000.0</v>
      </c>
      <c r="P35" s="281" t="s">
        <v>29</v>
      </c>
      <c r="Q35" s="281"/>
    </row>
    <row r="36">
      <c r="B36" s="259"/>
      <c r="C36" s="165"/>
      <c r="D36" s="165"/>
      <c r="E36" s="212"/>
      <c r="F36" s="165"/>
      <c r="G36" s="7"/>
      <c r="H36" s="7"/>
      <c r="L36" s="110">
        <v>8082026.0</v>
      </c>
      <c r="M36" s="110" t="s">
        <v>619</v>
      </c>
      <c r="N36" s="110" t="s">
        <v>448</v>
      </c>
      <c r="O36" s="244">
        <v>450000.0</v>
      </c>
      <c r="P36" s="281" t="s">
        <v>29</v>
      </c>
      <c r="Q36" s="285">
        <v>46247.0</v>
      </c>
    </row>
    <row r="37">
      <c r="B37" s="259"/>
      <c r="C37" s="165"/>
      <c r="D37" s="165"/>
      <c r="E37" s="212"/>
      <c r="F37" s="165"/>
      <c r="G37" s="169"/>
      <c r="H37" s="7"/>
    </row>
    <row r="38">
      <c r="B38" s="259"/>
      <c r="C38" s="165"/>
      <c r="D38" s="165"/>
      <c r="E38" s="212"/>
      <c r="F38" s="165"/>
      <c r="G38" s="169"/>
      <c r="H38" s="7"/>
    </row>
    <row r="39">
      <c r="B39" s="259"/>
      <c r="C39" s="165"/>
      <c r="D39" s="165"/>
      <c r="E39" s="212"/>
      <c r="F39" s="165"/>
      <c r="G39" s="169"/>
      <c r="H39" s="7"/>
    </row>
    <row r="40">
      <c r="B40" s="259"/>
      <c r="C40" s="165"/>
      <c r="D40" s="165"/>
      <c r="E40" s="212"/>
      <c r="F40" s="165"/>
      <c r="G40" s="169"/>
      <c r="H40" s="7"/>
    </row>
    <row r="41">
      <c r="B41" s="289"/>
      <c r="C41" s="290"/>
      <c r="D41" s="291"/>
      <c r="E41" s="292"/>
      <c r="F41" s="165"/>
      <c r="G41" s="197"/>
      <c r="H41" s="7"/>
    </row>
    <row r="42">
      <c r="B42" s="289"/>
      <c r="C42" s="293"/>
      <c r="D42" s="291"/>
      <c r="E42" s="292"/>
      <c r="F42" s="35"/>
      <c r="G42" s="197"/>
      <c r="H42" s="7"/>
    </row>
    <row r="43">
      <c r="B43" s="289"/>
      <c r="C43" s="293"/>
      <c r="D43" s="165"/>
      <c r="E43" s="212"/>
      <c r="F43" s="165"/>
      <c r="G43" s="197"/>
      <c r="H43" s="7"/>
    </row>
    <row r="44">
      <c r="A44" s="7"/>
      <c r="B44" s="7"/>
      <c r="C44" s="7"/>
      <c r="D44" s="7"/>
      <c r="E44" s="7"/>
      <c r="F44" s="7"/>
      <c r="G44" s="19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row>
    <row r="45">
      <c r="G45" s="197"/>
      <c r="H45" s="7"/>
    </row>
    <row r="48">
      <c r="B48" s="302" t="s">
        <v>671</v>
      </c>
      <c r="C48" s="4"/>
      <c r="D48" s="4"/>
      <c r="E48" s="4"/>
      <c r="F48" s="4"/>
      <c r="G48" s="4"/>
      <c r="H48" s="4"/>
      <c r="I48" s="4"/>
      <c r="J48" s="4"/>
      <c r="K48" s="4"/>
      <c r="L48" s="4"/>
      <c r="M48" s="4"/>
      <c r="N48" s="4"/>
      <c r="O48" s="4"/>
      <c r="P48" s="4"/>
      <c r="Q48" s="4"/>
      <c r="R48" s="4"/>
      <c r="S48" s="6"/>
      <c r="T48" s="305"/>
    </row>
    <row r="49">
      <c r="A49" s="306" t="s">
        <v>10</v>
      </c>
      <c r="B49" s="308" t="s">
        <v>13</v>
      </c>
      <c r="C49" s="311" t="s">
        <v>11</v>
      </c>
      <c r="D49" s="312" t="s">
        <v>693</v>
      </c>
      <c r="E49" s="313" t="s">
        <v>15</v>
      </c>
      <c r="F49" s="308" t="s">
        <v>698</v>
      </c>
      <c r="G49" s="308" t="s">
        <v>700</v>
      </c>
      <c r="H49" s="308" t="s">
        <v>701</v>
      </c>
      <c r="I49" s="308" t="s">
        <v>704</v>
      </c>
      <c r="J49" s="308" t="s">
        <v>706</v>
      </c>
      <c r="K49" s="308" t="s">
        <v>707</v>
      </c>
      <c r="L49" s="308" t="s">
        <v>709</v>
      </c>
      <c r="M49" s="308" t="s">
        <v>710</v>
      </c>
      <c r="N49" s="308" t="s">
        <v>711</v>
      </c>
      <c r="O49" s="308" t="s">
        <v>712</v>
      </c>
      <c r="P49" s="308" t="s">
        <v>714</v>
      </c>
      <c r="Q49" s="308" t="s">
        <v>717</v>
      </c>
      <c r="R49" s="308" t="s">
        <v>719</v>
      </c>
      <c r="S49" s="308" t="s">
        <v>721</v>
      </c>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row>
    <row r="50">
      <c r="A50" s="109">
        <v>46235.0</v>
      </c>
      <c r="B50" s="290" t="s">
        <v>735</v>
      </c>
      <c r="C50" s="290" t="s">
        <v>736</v>
      </c>
      <c r="D50" s="212">
        <v>205000.0</v>
      </c>
      <c r="E50" s="320" t="s">
        <v>739</v>
      </c>
      <c r="F50" s="212">
        <v>210000.0</v>
      </c>
      <c r="G50" s="321">
        <v>0.0</v>
      </c>
      <c r="H50" s="212">
        <v>0.0</v>
      </c>
      <c r="I50" s="212">
        <f>D50</f>
        <v>205000</v>
      </c>
      <c r="J50" s="320" t="s">
        <v>756</v>
      </c>
      <c r="K50" s="320" t="s">
        <v>768</v>
      </c>
      <c r="L50" s="165" t="s">
        <v>773</v>
      </c>
      <c r="M50" s="165" t="s">
        <v>773</v>
      </c>
      <c r="N50" s="165" t="s">
        <v>776</v>
      </c>
      <c r="O50" s="165" t="s">
        <v>773</v>
      </c>
      <c r="P50" s="165" t="s">
        <v>773</v>
      </c>
      <c r="Q50" s="165" t="s">
        <v>777</v>
      </c>
      <c r="R50" s="140"/>
      <c r="S50" s="105">
        <v>46246.0</v>
      </c>
      <c r="T50" s="157"/>
      <c r="U50" s="157"/>
      <c r="V50" s="157"/>
      <c r="W50" s="157"/>
      <c r="X50" s="157"/>
      <c r="Y50" s="157"/>
      <c r="Z50" s="157"/>
      <c r="AA50" s="157"/>
      <c r="AB50" s="157"/>
      <c r="AC50" s="157"/>
      <c r="AD50" s="157"/>
      <c r="AE50" s="157"/>
      <c r="AF50" s="157"/>
      <c r="AG50" s="157"/>
      <c r="AH50" s="157"/>
      <c r="AI50" s="157"/>
      <c r="AJ50" s="157"/>
      <c r="AK50" s="157"/>
      <c r="AL50" s="157"/>
      <c r="AM50" s="157"/>
      <c r="AN50" s="157"/>
      <c r="AO50" s="157"/>
      <c r="AP50" s="157"/>
      <c r="AQ50" s="157"/>
      <c r="AR50" s="157"/>
      <c r="AS50" s="157"/>
      <c r="AT50" s="157"/>
      <c r="AU50" s="157"/>
      <c r="AV50" s="157"/>
      <c r="AW50" s="157"/>
    </row>
    <row r="51">
      <c r="A51" s="33">
        <v>46246.0</v>
      </c>
      <c r="B51" s="54" t="s">
        <v>785</v>
      </c>
      <c r="C51" s="293" t="s">
        <v>786</v>
      </c>
      <c r="D51" s="37">
        <v>187000.0</v>
      </c>
      <c r="E51" s="329" t="s">
        <v>788</v>
      </c>
      <c r="F51" s="37">
        <v>210000.0</v>
      </c>
      <c r="G51" s="107">
        <v>0.0</v>
      </c>
      <c r="H51" s="107">
        <v>0.0</v>
      </c>
      <c r="I51" s="107">
        <v>187000.0</v>
      </c>
      <c r="J51" s="329" t="s">
        <v>813</v>
      </c>
      <c r="K51" s="329" t="s">
        <v>828</v>
      </c>
      <c r="L51" s="35" t="s">
        <v>773</v>
      </c>
      <c r="M51" s="35" t="s">
        <v>836</v>
      </c>
      <c r="N51" s="35" t="s">
        <v>837</v>
      </c>
      <c r="O51" s="35" t="s">
        <v>773</v>
      </c>
      <c r="P51" s="35" t="s">
        <v>773</v>
      </c>
      <c r="Q51" s="35" t="s">
        <v>777</v>
      </c>
      <c r="R51" s="93"/>
      <c r="S51" s="105"/>
      <c r="T51" s="147"/>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row>
    <row r="52">
      <c r="A52" s="33">
        <v>46248.0</v>
      </c>
      <c r="B52" s="293" t="s">
        <v>841</v>
      </c>
      <c r="C52" s="293" t="s">
        <v>842</v>
      </c>
      <c r="D52" s="37">
        <v>187000.0</v>
      </c>
      <c r="E52" s="329" t="s">
        <v>843</v>
      </c>
      <c r="F52" s="107">
        <v>210000.0</v>
      </c>
      <c r="G52" s="35">
        <v>0.0</v>
      </c>
      <c r="H52" s="107">
        <v>0.0</v>
      </c>
      <c r="I52" s="107">
        <v>92800.0</v>
      </c>
      <c r="J52" s="329" t="s">
        <v>854</v>
      </c>
      <c r="K52" s="329" t="s">
        <v>862</v>
      </c>
      <c r="L52" s="35" t="s">
        <v>773</v>
      </c>
      <c r="M52" s="35" t="s">
        <v>836</v>
      </c>
      <c r="N52" s="35"/>
      <c r="O52" s="35"/>
      <c r="P52" s="35"/>
      <c r="Q52" s="35"/>
      <c r="R52" s="93"/>
      <c r="S52" s="105"/>
      <c r="T52" s="147"/>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row>
    <row r="53">
      <c r="A53" s="33">
        <v>46249.0</v>
      </c>
      <c r="B53" s="293" t="s">
        <v>100</v>
      </c>
      <c r="C53" s="293" t="s">
        <v>868</v>
      </c>
      <c r="D53" s="37">
        <v>180000.0</v>
      </c>
      <c r="E53" s="329" t="s">
        <v>869</v>
      </c>
      <c r="F53" s="37">
        <v>0.0</v>
      </c>
      <c r="G53" s="107">
        <v>0.0</v>
      </c>
      <c r="H53" s="107">
        <v>0.0</v>
      </c>
      <c r="I53" s="107">
        <v>180000.0</v>
      </c>
      <c r="J53" s="35" t="s">
        <v>880</v>
      </c>
      <c r="K53" s="337" t="s">
        <v>881</v>
      </c>
      <c r="L53" s="35" t="s">
        <v>880</v>
      </c>
      <c r="M53" s="35" t="s">
        <v>836</v>
      </c>
      <c r="N53" s="35" t="s">
        <v>884</v>
      </c>
      <c r="O53" s="35" t="s">
        <v>773</v>
      </c>
      <c r="P53" s="35" t="s">
        <v>773</v>
      </c>
      <c r="Q53" s="35" t="s">
        <v>777</v>
      </c>
      <c r="R53" s="93"/>
      <c r="S53" s="105"/>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row>
    <row r="54">
      <c r="A54" s="250">
        <v>46250.0</v>
      </c>
      <c r="B54" s="290" t="s">
        <v>176</v>
      </c>
      <c r="C54" s="290" t="s">
        <v>895</v>
      </c>
      <c r="D54" s="212">
        <v>195000.0</v>
      </c>
      <c r="E54" s="320" t="s">
        <v>896</v>
      </c>
      <c r="F54" s="342">
        <v>180000.0</v>
      </c>
      <c r="G54" s="342">
        <v>30000.0</v>
      </c>
      <c r="H54" s="342">
        <v>0.0</v>
      </c>
      <c r="I54" s="342">
        <v>195000.0</v>
      </c>
      <c r="J54" s="320" t="s">
        <v>914</v>
      </c>
      <c r="K54" s="346" t="s">
        <v>925</v>
      </c>
      <c r="L54" s="165" t="s">
        <v>773</v>
      </c>
      <c r="M54" s="165" t="s">
        <v>836</v>
      </c>
      <c r="N54" s="165" t="s">
        <v>884</v>
      </c>
      <c r="O54" s="165" t="s">
        <v>773</v>
      </c>
      <c r="P54" s="165" t="s">
        <v>773</v>
      </c>
      <c r="Q54" s="165" t="s">
        <v>777</v>
      </c>
      <c r="R54" s="70"/>
      <c r="S54" s="105"/>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row>
    <row r="55">
      <c r="A55" s="347">
        <v>46252.0</v>
      </c>
      <c r="B55" s="119" t="s">
        <v>521</v>
      </c>
      <c r="C55" s="119" t="s">
        <v>934</v>
      </c>
      <c r="D55" s="348">
        <v>185000.0</v>
      </c>
      <c r="E55" s="349" t="s">
        <v>935</v>
      </c>
      <c r="F55" s="348">
        <v>0.0</v>
      </c>
      <c r="G55" s="119">
        <v>0.0</v>
      </c>
      <c r="H55" s="348">
        <v>0.0</v>
      </c>
      <c r="I55" s="348">
        <v>185000.0</v>
      </c>
      <c r="J55" s="119" t="s">
        <v>880</v>
      </c>
      <c r="K55" s="349" t="s">
        <v>937</v>
      </c>
      <c r="L55" s="119" t="s">
        <v>880</v>
      </c>
      <c r="M55" s="119" t="s">
        <v>836</v>
      </c>
      <c r="N55" s="119" t="s">
        <v>884</v>
      </c>
      <c r="O55" s="119" t="s">
        <v>773</v>
      </c>
      <c r="P55" s="119" t="s">
        <v>773</v>
      </c>
      <c r="Q55" s="119" t="s">
        <v>777</v>
      </c>
      <c r="R55" s="219" t="s">
        <v>946</v>
      </c>
    </row>
    <row r="56">
      <c r="A56" s="347">
        <v>46258.0</v>
      </c>
      <c r="B56" s="119" t="s">
        <v>948</v>
      </c>
      <c r="C56" s="119" t="s">
        <v>949</v>
      </c>
      <c r="D56" s="348">
        <v>155000.0</v>
      </c>
      <c r="E56" s="349" t="s">
        <v>950</v>
      </c>
      <c r="F56" s="348">
        <v>36000.0</v>
      </c>
      <c r="G56" s="348">
        <v>0.0</v>
      </c>
      <c r="H56" s="348">
        <v>0.0</v>
      </c>
      <c r="I56" s="348">
        <v>155000.0</v>
      </c>
      <c r="J56" s="349" t="s">
        <v>963</v>
      </c>
      <c r="K56" s="349" t="s">
        <v>970</v>
      </c>
      <c r="L56" s="119" t="s">
        <v>773</v>
      </c>
      <c r="M56" s="119" t="s">
        <v>836</v>
      </c>
      <c r="N56" s="119" t="s">
        <v>776</v>
      </c>
      <c r="O56" s="119" t="s">
        <v>773</v>
      </c>
      <c r="P56" s="119" t="s">
        <v>773</v>
      </c>
      <c r="Q56" s="119" t="s">
        <v>777</v>
      </c>
    </row>
    <row r="58">
      <c r="B58" s="360" t="s">
        <v>988</v>
      </c>
      <c r="C58" s="4"/>
      <c r="D58" s="4"/>
      <c r="E58" s="4"/>
      <c r="F58" s="4"/>
      <c r="G58" s="4"/>
      <c r="H58" s="4"/>
      <c r="I58" s="4"/>
      <c r="J58" s="4"/>
      <c r="K58" s="4"/>
      <c r="L58" s="4"/>
      <c r="M58" s="4"/>
      <c r="N58" s="4"/>
      <c r="O58" s="4"/>
      <c r="P58" s="4"/>
      <c r="Q58" s="4"/>
      <c r="R58" s="4"/>
      <c r="S58" s="6"/>
    </row>
    <row r="59">
      <c r="A59" s="306" t="s">
        <v>10</v>
      </c>
      <c r="B59" s="308" t="s">
        <v>13</v>
      </c>
      <c r="C59" s="311" t="s">
        <v>11</v>
      </c>
      <c r="D59" s="312" t="s">
        <v>693</v>
      </c>
      <c r="E59" s="313" t="s">
        <v>15</v>
      </c>
      <c r="F59" s="308" t="s">
        <v>698</v>
      </c>
      <c r="G59" s="308" t="s">
        <v>700</v>
      </c>
      <c r="H59" s="308" t="s">
        <v>701</v>
      </c>
      <c r="I59" s="308" t="s">
        <v>704</v>
      </c>
      <c r="J59" s="308" t="s">
        <v>706</v>
      </c>
      <c r="K59" s="308" t="s">
        <v>707</v>
      </c>
      <c r="L59" s="308" t="s">
        <v>709</v>
      </c>
      <c r="M59" s="308" t="s">
        <v>710</v>
      </c>
      <c r="N59" s="308" t="s">
        <v>711</v>
      </c>
      <c r="O59" s="308" t="s">
        <v>712</v>
      </c>
      <c r="P59" s="308" t="s">
        <v>714</v>
      </c>
      <c r="Q59" s="308" t="s">
        <v>717</v>
      </c>
      <c r="R59" s="308" t="s">
        <v>719</v>
      </c>
      <c r="S59" s="308" t="s">
        <v>721</v>
      </c>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row>
    <row r="60">
      <c r="A60" s="33">
        <v>46238.0</v>
      </c>
      <c r="B60" s="284" t="s">
        <v>154</v>
      </c>
      <c r="C60" s="284" t="s">
        <v>1006</v>
      </c>
      <c r="D60" s="37">
        <v>300000.0</v>
      </c>
      <c r="E60" s="368" t="s">
        <v>1009</v>
      </c>
      <c r="F60" s="37">
        <v>210000.0</v>
      </c>
      <c r="G60" s="37">
        <v>0.0</v>
      </c>
      <c r="H60" s="37">
        <v>0.0</v>
      </c>
      <c r="I60" s="373">
        <f t="shared" ref="I60:I61" si="1">D60</f>
        <v>300000</v>
      </c>
      <c r="J60" s="320" t="s">
        <v>1009</v>
      </c>
      <c r="K60" s="377" t="s">
        <v>1019</v>
      </c>
      <c r="L60" s="165" t="s">
        <v>773</v>
      </c>
      <c r="M60" s="35" t="s">
        <v>773</v>
      </c>
      <c r="N60" s="35" t="s">
        <v>776</v>
      </c>
      <c r="O60" s="35" t="s">
        <v>773</v>
      </c>
      <c r="P60" s="35" t="s">
        <v>773</v>
      </c>
      <c r="Q60" s="165" t="s">
        <v>1015</v>
      </c>
      <c r="R60" s="378" t="s">
        <v>1015</v>
      </c>
      <c r="S60" s="379">
        <v>46246.0</v>
      </c>
      <c r="T60" s="157"/>
      <c r="U60" s="157"/>
      <c r="V60" s="157"/>
      <c r="W60" s="157"/>
      <c r="X60" s="157"/>
      <c r="Y60" s="157"/>
      <c r="Z60" s="157"/>
      <c r="AA60" s="157"/>
      <c r="AB60" s="157"/>
      <c r="AC60" s="157"/>
      <c r="AD60" s="157"/>
      <c r="AE60" s="157"/>
      <c r="AF60" s="157"/>
      <c r="AG60" s="157"/>
      <c r="AH60" s="157"/>
      <c r="AI60" s="157"/>
      <c r="AJ60" s="157"/>
      <c r="AK60" s="157"/>
      <c r="AL60" s="157"/>
      <c r="AM60" s="157"/>
      <c r="AN60" s="157"/>
      <c r="AO60" s="157"/>
      <c r="AP60" s="157"/>
      <c r="AQ60" s="157"/>
      <c r="AR60" s="157"/>
      <c r="AS60" s="157"/>
      <c r="AT60" s="157"/>
      <c r="AU60" s="157"/>
      <c r="AV60" s="157"/>
      <c r="AW60" s="157"/>
    </row>
    <row r="61">
      <c r="A61" s="33">
        <v>46254.0</v>
      </c>
      <c r="B61" s="284" t="s">
        <v>209</v>
      </c>
      <c r="C61" s="284" t="s">
        <v>1031</v>
      </c>
      <c r="D61" s="37">
        <v>195000.0</v>
      </c>
      <c r="E61" s="329" t="s">
        <v>1034</v>
      </c>
      <c r="F61" s="37">
        <v>240000.0</v>
      </c>
      <c r="G61" s="37">
        <v>0.0</v>
      </c>
      <c r="H61" s="37">
        <v>0.0</v>
      </c>
      <c r="I61" s="373">
        <f t="shared" si="1"/>
        <v>195000</v>
      </c>
      <c r="J61" s="337" t="s">
        <v>1037</v>
      </c>
      <c r="K61" s="337" t="s">
        <v>1042</v>
      </c>
      <c r="L61" s="165" t="s">
        <v>773</v>
      </c>
      <c r="M61" s="35" t="s">
        <v>773</v>
      </c>
      <c r="N61" s="35" t="s">
        <v>1044</v>
      </c>
      <c r="O61" s="35" t="s">
        <v>773</v>
      </c>
      <c r="P61" s="35" t="s">
        <v>773</v>
      </c>
      <c r="Q61" s="165" t="s">
        <v>1015</v>
      </c>
      <c r="R61" s="378" t="s">
        <v>1015</v>
      </c>
      <c r="S61" s="379"/>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row>
    <row r="62">
      <c r="A62" s="384"/>
      <c r="B62" s="101"/>
      <c r="C62" s="101"/>
      <c r="D62" s="37"/>
      <c r="E62" s="35"/>
      <c r="F62" s="35"/>
      <c r="G62" s="37"/>
      <c r="H62" s="35"/>
      <c r="I62" s="93"/>
      <c r="J62" s="70"/>
      <c r="K62" s="315"/>
      <c r="L62" s="165"/>
      <c r="M62" s="35"/>
      <c r="N62" s="35"/>
      <c r="O62" s="35"/>
      <c r="P62" s="35"/>
      <c r="Q62" s="70"/>
      <c r="R62" s="70"/>
      <c r="S62" s="379"/>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row>
    <row r="63">
      <c r="A63" s="384"/>
      <c r="B63" s="35"/>
      <c r="C63" s="35"/>
      <c r="D63" s="37"/>
      <c r="E63" s="102"/>
      <c r="F63" s="35"/>
      <c r="G63" s="37"/>
      <c r="H63" s="35"/>
      <c r="I63" s="93"/>
      <c r="J63" s="35"/>
      <c r="K63" s="102"/>
      <c r="L63" s="165"/>
      <c r="M63" s="35"/>
      <c r="N63" s="35"/>
      <c r="O63" s="35"/>
      <c r="P63" s="35"/>
      <c r="Q63" s="388"/>
      <c r="R63" s="388"/>
      <c r="S63" s="388"/>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row>
    <row r="64">
      <c r="A64" s="384"/>
      <c r="B64" s="165"/>
      <c r="C64" s="165"/>
      <c r="D64" s="212"/>
      <c r="E64" s="165"/>
      <c r="F64" s="35"/>
      <c r="G64" s="35"/>
      <c r="H64" s="35"/>
      <c r="I64" s="140"/>
      <c r="J64" s="35"/>
      <c r="K64" s="165"/>
      <c r="L64" s="165"/>
      <c r="M64" s="35"/>
      <c r="N64" s="165"/>
      <c r="O64" s="35"/>
      <c r="P64" s="35"/>
      <c r="Q64" s="388"/>
      <c r="R64" s="140"/>
      <c r="S64" s="140"/>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row>
    <row r="65">
      <c r="A65" s="391"/>
      <c r="B65" s="392"/>
      <c r="C65" s="392"/>
      <c r="D65" s="37"/>
      <c r="E65" s="37"/>
      <c r="F65" s="37"/>
      <c r="G65" s="37"/>
      <c r="H65" s="37"/>
      <c r="I65" s="373"/>
      <c r="J65" s="35"/>
      <c r="K65" s="37"/>
      <c r="L65" s="35"/>
      <c r="M65" s="35"/>
      <c r="N65" s="35"/>
      <c r="O65" s="35"/>
      <c r="P65" s="35"/>
      <c r="Q65" s="388"/>
      <c r="R65" s="140"/>
      <c r="S65" s="33"/>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row>
    <row r="69">
      <c r="B69" s="360" t="s">
        <v>1062</v>
      </c>
      <c r="C69" s="4"/>
      <c r="D69" s="4"/>
      <c r="E69" s="4"/>
      <c r="F69" s="4"/>
      <c r="G69" s="4"/>
      <c r="H69" s="4"/>
      <c r="I69" s="4"/>
      <c r="J69" s="4"/>
      <c r="K69" s="4"/>
      <c r="L69" s="4"/>
      <c r="M69" s="4"/>
      <c r="N69" s="4"/>
      <c r="O69" s="4"/>
      <c r="P69" s="4"/>
      <c r="Q69" s="4"/>
      <c r="R69" s="4"/>
      <c r="S69" s="6"/>
    </row>
    <row r="70">
      <c r="A70" s="306" t="s">
        <v>10</v>
      </c>
      <c r="B70" s="308" t="s">
        <v>13</v>
      </c>
      <c r="C70" s="311" t="s">
        <v>11</v>
      </c>
      <c r="D70" s="312" t="s">
        <v>693</v>
      </c>
      <c r="E70" s="313" t="s">
        <v>15</v>
      </c>
      <c r="F70" s="308" t="s">
        <v>698</v>
      </c>
      <c r="G70" s="308" t="s">
        <v>700</v>
      </c>
      <c r="H70" s="308" t="s">
        <v>701</v>
      </c>
      <c r="I70" s="308" t="s">
        <v>704</v>
      </c>
      <c r="J70" s="308" t="s">
        <v>706</v>
      </c>
      <c r="K70" s="308" t="s">
        <v>707</v>
      </c>
      <c r="L70" s="308" t="s">
        <v>709</v>
      </c>
      <c r="M70" s="308" t="s">
        <v>710</v>
      </c>
      <c r="N70" s="308" t="s">
        <v>711</v>
      </c>
      <c r="O70" s="308" t="s">
        <v>712</v>
      </c>
      <c r="P70" s="308" t="s">
        <v>714</v>
      </c>
      <c r="Q70" s="308" t="s">
        <v>717</v>
      </c>
      <c r="R70" s="308" t="s">
        <v>719</v>
      </c>
      <c r="S70" s="308" t="s">
        <v>721</v>
      </c>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row>
    <row r="71">
      <c r="A71" s="250"/>
      <c r="B71" s="165"/>
      <c r="C71" s="165"/>
      <c r="D71" s="212"/>
      <c r="E71" s="165"/>
      <c r="F71" s="212"/>
      <c r="G71" s="212"/>
      <c r="H71" s="165"/>
      <c r="I71" s="140"/>
      <c r="J71" s="165"/>
      <c r="K71" s="165"/>
      <c r="L71" s="165"/>
      <c r="M71" s="165"/>
      <c r="N71" s="165"/>
      <c r="O71" s="165"/>
      <c r="P71" s="165"/>
      <c r="Q71" s="140"/>
      <c r="R71" s="140"/>
      <c r="S71" s="379"/>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row>
    <row r="72">
      <c r="A72" s="250"/>
      <c r="B72" s="165"/>
      <c r="C72" s="165"/>
      <c r="D72" s="212"/>
      <c r="E72" s="165"/>
      <c r="F72" s="212"/>
      <c r="G72" s="165"/>
      <c r="H72" s="165"/>
      <c r="I72" s="140"/>
      <c r="J72" s="165"/>
      <c r="K72" s="165"/>
      <c r="L72" s="165"/>
      <c r="M72" s="165"/>
      <c r="N72" s="165"/>
      <c r="O72" s="165"/>
      <c r="P72" s="165"/>
      <c r="Q72" s="140"/>
      <c r="R72" s="140"/>
      <c r="S72" s="379"/>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row>
    <row r="73">
      <c r="A73" s="250"/>
      <c r="B73" s="165"/>
      <c r="C73" s="165"/>
      <c r="D73" s="212"/>
      <c r="E73" s="165"/>
      <c r="F73" s="165"/>
      <c r="G73" s="165"/>
      <c r="H73" s="165"/>
      <c r="I73" s="140"/>
      <c r="J73" s="165"/>
      <c r="K73" s="165"/>
      <c r="L73" s="165"/>
      <c r="M73" s="165"/>
      <c r="N73" s="165"/>
      <c r="O73" s="165"/>
      <c r="P73" s="165"/>
      <c r="Q73" s="140"/>
      <c r="R73" s="140"/>
      <c r="S73" s="250"/>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row>
    <row r="74">
      <c r="A74" s="250"/>
      <c r="B74" s="165"/>
      <c r="C74" s="165"/>
      <c r="D74" s="212"/>
      <c r="E74" s="165"/>
      <c r="F74" s="165"/>
      <c r="G74" s="212"/>
      <c r="H74" s="165"/>
      <c r="I74" s="140"/>
      <c r="J74" s="165"/>
      <c r="K74" s="165"/>
      <c r="L74" s="165"/>
      <c r="M74" s="165"/>
      <c r="N74" s="165"/>
      <c r="O74" s="165"/>
      <c r="P74" s="165"/>
      <c r="Q74" s="140"/>
      <c r="R74" s="140"/>
      <c r="S74" s="250"/>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row>
    <row r="82">
      <c r="B82" s="360" t="s">
        <v>1096</v>
      </c>
      <c r="C82" s="4"/>
      <c r="D82" s="4"/>
      <c r="E82" s="4"/>
      <c r="F82" s="4"/>
      <c r="G82" s="4"/>
      <c r="H82" s="4"/>
      <c r="I82" s="4"/>
      <c r="J82" s="4"/>
      <c r="K82" s="4"/>
      <c r="L82" s="4"/>
      <c r="M82" s="4"/>
      <c r="N82" s="4"/>
      <c r="O82" s="4"/>
      <c r="P82" s="4"/>
      <c r="Q82" s="4"/>
      <c r="R82" s="4"/>
      <c r="S82" s="4"/>
      <c r="T82" s="6"/>
    </row>
    <row r="83">
      <c r="A83" s="26" t="s">
        <v>10</v>
      </c>
      <c r="B83" s="414" t="s">
        <v>13</v>
      </c>
      <c r="C83" s="416" t="s">
        <v>11</v>
      </c>
      <c r="D83" s="417" t="s">
        <v>693</v>
      </c>
      <c r="E83" s="419" t="s">
        <v>15</v>
      </c>
      <c r="F83" s="414" t="s">
        <v>698</v>
      </c>
      <c r="G83" s="414" t="s">
        <v>700</v>
      </c>
      <c r="H83" s="414" t="s">
        <v>701</v>
      </c>
      <c r="I83" s="414" t="s">
        <v>704</v>
      </c>
      <c r="J83" s="414" t="s">
        <v>706</v>
      </c>
      <c r="K83" s="414" t="s">
        <v>707</v>
      </c>
      <c r="L83" s="414" t="s">
        <v>709</v>
      </c>
      <c r="M83" s="414" t="s">
        <v>710</v>
      </c>
      <c r="N83" s="414" t="s">
        <v>711</v>
      </c>
      <c r="O83" s="414" t="s">
        <v>712</v>
      </c>
      <c r="P83" s="414" t="s">
        <v>714</v>
      </c>
      <c r="Q83" s="414" t="s">
        <v>717</v>
      </c>
      <c r="R83" s="414" t="s">
        <v>719</v>
      </c>
      <c r="S83" s="414" t="s">
        <v>721</v>
      </c>
      <c r="T83" s="1"/>
    </row>
    <row r="84">
      <c r="A84" s="421">
        <v>46243.0</v>
      </c>
      <c r="B84" s="423" t="s">
        <v>192</v>
      </c>
      <c r="C84" s="293" t="s">
        <v>1108</v>
      </c>
      <c r="D84" s="425">
        <v>10000.0</v>
      </c>
      <c r="E84" s="426" t="s">
        <v>1110</v>
      </c>
      <c r="F84" s="292">
        <v>86000.0</v>
      </c>
      <c r="G84" s="293" t="s">
        <v>880</v>
      </c>
      <c r="H84" s="293" t="s">
        <v>880</v>
      </c>
      <c r="I84" s="373">
        <f t="shared" ref="I84:I85" si="2">D84</f>
        <v>10000</v>
      </c>
      <c r="J84" s="427"/>
      <c r="K84" s="35"/>
      <c r="L84" s="427"/>
      <c r="M84" s="35" t="s">
        <v>1015</v>
      </c>
      <c r="N84" s="70"/>
      <c r="O84" s="35"/>
      <c r="P84" s="35" t="s">
        <v>773</v>
      </c>
      <c r="Q84" s="35" t="s">
        <v>777</v>
      </c>
      <c r="R84" s="70"/>
      <c r="S84" s="72"/>
      <c r="T84" s="93"/>
      <c r="U84" s="428"/>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row>
    <row r="85">
      <c r="A85" s="421">
        <v>46247.0</v>
      </c>
      <c r="B85" s="426" t="s">
        <v>361</v>
      </c>
      <c r="C85" s="293" t="s">
        <v>1116</v>
      </c>
      <c r="D85" s="432">
        <v>15000.0</v>
      </c>
      <c r="E85" s="426" t="s">
        <v>1110</v>
      </c>
      <c r="F85" s="292">
        <v>120000.0</v>
      </c>
      <c r="G85" s="293" t="s">
        <v>880</v>
      </c>
      <c r="H85" s="293" t="s">
        <v>880</v>
      </c>
      <c r="I85" s="373">
        <f t="shared" si="2"/>
        <v>15000</v>
      </c>
      <c r="J85" s="427"/>
      <c r="K85" s="102"/>
      <c r="L85" s="427"/>
      <c r="M85" s="35" t="s">
        <v>1015</v>
      </c>
      <c r="N85" s="388"/>
      <c r="O85" s="35"/>
      <c r="P85" s="35" t="s">
        <v>773</v>
      </c>
      <c r="Q85" s="35" t="s">
        <v>777</v>
      </c>
      <c r="R85" s="388"/>
      <c r="S85" s="72"/>
      <c r="T85" s="93"/>
      <c r="U85" s="96"/>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c r="AV85" s="51"/>
      <c r="AW85" s="51"/>
    </row>
    <row r="92">
      <c r="B92" s="360" t="s">
        <v>1123</v>
      </c>
      <c r="C92" s="4"/>
      <c r="D92" s="4"/>
      <c r="E92" s="4"/>
      <c r="F92" s="4"/>
      <c r="G92" s="4"/>
      <c r="H92" s="4"/>
      <c r="I92" s="4"/>
      <c r="J92" s="4"/>
      <c r="K92" s="4"/>
      <c r="L92" s="4"/>
      <c r="M92" s="4"/>
      <c r="N92" s="4"/>
      <c r="O92" s="4"/>
      <c r="P92" s="4"/>
      <c r="Q92" s="4"/>
      <c r="R92" s="4"/>
      <c r="S92" s="4"/>
      <c r="T92" s="6"/>
    </row>
    <row r="93">
      <c r="A93" s="306" t="s">
        <v>10</v>
      </c>
      <c r="B93" s="308" t="s">
        <v>13</v>
      </c>
      <c r="C93" s="311" t="s">
        <v>11</v>
      </c>
      <c r="D93" s="312" t="s">
        <v>693</v>
      </c>
      <c r="E93" s="313" t="s">
        <v>15</v>
      </c>
      <c r="F93" s="308" t="s">
        <v>698</v>
      </c>
      <c r="G93" s="308" t="s">
        <v>700</v>
      </c>
      <c r="H93" s="308" t="s">
        <v>701</v>
      </c>
      <c r="I93" s="308" t="s">
        <v>704</v>
      </c>
      <c r="J93" s="308" t="s">
        <v>706</v>
      </c>
      <c r="K93" s="308" t="s">
        <v>707</v>
      </c>
      <c r="L93" s="308" t="s">
        <v>709</v>
      </c>
      <c r="M93" s="308" t="s">
        <v>710</v>
      </c>
      <c r="N93" s="308" t="s">
        <v>711</v>
      </c>
      <c r="O93" s="308" t="s">
        <v>712</v>
      </c>
      <c r="P93" s="308" t="s">
        <v>714</v>
      </c>
      <c r="Q93" s="308" t="s">
        <v>717</v>
      </c>
      <c r="R93" s="308" t="s">
        <v>719</v>
      </c>
      <c r="S93" s="308" t="s">
        <v>721</v>
      </c>
      <c r="T93" s="127"/>
    </row>
    <row r="94">
      <c r="A94" s="33"/>
      <c r="B94" s="101"/>
      <c r="C94" s="440"/>
      <c r="D94" s="37"/>
      <c r="E94" s="35"/>
      <c r="F94" s="37"/>
      <c r="G94" s="293"/>
      <c r="H94" s="293"/>
      <c r="I94" s="93"/>
      <c r="J94" s="35"/>
      <c r="K94" s="35"/>
      <c r="L94" s="35"/>
      <c r="M94" s="35"/>
      <c r="N94" s="35"/>
      <c r="O94" s="35"/>
      <c r="P94" s="35"/>
      <c r="Q94" s="35"/>
      <c r="R94" s="93"/>
      <c r="S94" s="35"/>
      <c r="T94" s="93"/>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row>
    <row r="95">
      <c r="A95" s="33"/>
      <c r="B95" s="165"/>
      <c r="C95" s="165"/>
      <c r="D95" s="212"/>
      <c r="E95" s="315"/>
      <c r="F95" s="212"/>
      <c r="G95" s="293"/>
      <c r="H95" s="293"/>
      <c r="I95" s="140"/>
      <c r="J95" s="315"/>
      <c r="K95" s="315"/>
      <c r="L95" s="35"/>
      <c r="M95" s="35"/>
      <c r="N95" s="35"/>
      <c r="O95" s="35"/>
      <c r="P95" s="35"/>
      <c r="Q95" s="35"/>
      <c r="R95" s="93"/>
      <c r="S95" s="35"/>
      <c r="T95" s="70"/>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row>
    <row r="96">
      <c r="A96" s="33"/>
      <c r="B96" s="72"/>
      <c r="C96" s="35"/>
      <c r="D96" s="37"/>
      <c r="E96" s="35"/>
      <c r="F96" s="37"/>
      <c r="G96" s="293"/>
      <c r="H96" s="293"/>
      <c r="I96" s="37"/>
      <c r="J96" s="35"/>
      <c r="K96" s="441"/>
      <c r="L96" s="35"/>
      <c r="M96" s="35"/>
      <c r="N96" s="35"/>
      <c r="O96" s="35"/>
      <c r="P96" s="35"/>
      <c r="Q96" s="35"/>
      <c r="R96" s="93"/>
      <c r="S96" s="93"/>
      <c r="T96" s="93"/>
      <c r="U96" s="147"/>
      <c r="V96" s="147"/>
      <c r="W96" s="147"/>
      <c r="X96" s="147"/>
      <c r="Y96" s="147"/>
      <c r="Z96" s="147"/>
      <c r="AA96" s="147"/>
      <c r="AB96" s="147"/>
      <c r="AC96" s="147"/>
      <c r="AD96" s="147"/>
      <c r="AE96" s="147"/>
      <c r="AF96" s="147"/>
      <c r="AG96" s="147"/>
      <c r="AH96" s="147"/>
      <c r="AI96" s="147"/>
      <c r="AJ96" s="147"/>
      <c r="AK96" s="147"/>
      <c r="AL96" s="147"/>
      <c r="AM96" s="147"/>
      <c r="AN96" s="147"/>
      <c r="AO96" s="147"/>
      <c r="AP96" s="147"/>
      <c r="AQ96" s="147"/>
      <c r="AR96" s="147"/>
      <c r="AS96" s="147"/>
      <c r="AT96" s="147"/>
      <c r="AU96" s="147"/>
      <c r="AV96" s="147"/>
      <c r="AW96" s="147"/>
    </row>
    <row r="97">
      <c r="A97" s="33"/>
      <c r="B97" s="153"/>
      <c r="C97" s="443"/>
      <c r="D97" s="37"/>
      <c r="E97" s="102"/>
      <c r="F97" s="35"/>
      <c r="G97" s="35"/>
      <c r="H97" s="35"/>
      <c r="I97" s="37"/>
      <c r="J97" s="35"/>
      <c r="K97" s="102"/>
      <c r="L97" s="35"/>
      <c r="M97" s="35"/>
      <c r="N97" s="35"/>
      <c r="O97" s="35"/>
      <c r="P97" s="35"/>
      <c r="Q97" s="35"/>
      <c r="R97" s="388"/>
      <c r="S97" s="261"/>
      <c r="T97" s="388"/>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row>
    <row r="102">
      <c r="B102" s="360" t="s">
        <v>1144</v>
      </c>
      <c r="C102" s="4"/>
      <c r="D102" s="4"/>
      <c r="E102" s="4"/>
      <c r="F102" s="4"/>
      <c r="G102" s="4"/>
      <c r="H102" s="4"/>
      <c r="I102" s="4"/>
      <c r="J102" s="4"/>
      <c r="K102" s="4"/>
      <c r="L102" s="4"/>
      <c r="M102" s="4"/>
      <c r="N102" s="4"/>
      <c r="O102" s="4"/>
      <c r="P102" s="4"/>
      <c r="Q102" s="4"/>
      <c r="R102" s="4"/>
      <c r="S102" s="6"/>
    </row>
    <row r="103">
      <c r="A103" s="306" t="s">
        <v>10</v>
      </c>
      <c r="B103" s="308" t="s">
        <v>13</v>
      </c>
      <c r="C103" s="311" t="s">
        <v>11</v>
      </c>
      <c r="D103" s="312" t="s">
        <v>693</v>
      </c>
      <c r="E103" s="313" t="s">
        <v>15</v>
      </c>
      <c r="F103" s="308" t="s">
        <v>698</v>
      </c>
      <c r="G103" s="308" t="s">
        <v>700</v>
      </c>
      <c r="H103" s="308" t="s">
        <v>701</v>
      </c>
      <c r="I103" s="308" t="s">
        <v>704</v>
      </c>
      <c r="J103" s="308" t="s">
        <v>706</v>
      </c>
      <c r="K103" s="308" t="s">
        <v>707</v>
      </c>
      <c r="L103" s="308" t="s">
        <v>709</v>
      </c>
      <c r="M103" s="308" t="s">
        <v>710</v>
      </c>
      <c r="N103" s="308" t="s">
        <v>711</v>
      </c>
      <c r="O103" s="308" t="s">
        <v>712</v>
      </c>
      <c r="P103" s="308" t="s">
        <v>714</v>
      </c>
      <c r="Q103" s="308" t="s">
        <v>717</v>
      </c>
      <c r="R103" s="308" t="s">
        <v>719</v>
      </c>
      <c r="S103" s="308" t="s">
        <v>721</v>
      </c>
    </row>
    <row r="104">
      <c r="A104" s="33">
        <v>46237.0</v>
      </c>
      <c r="B104" s="34" t="s">
        <v>21</v>
      </c>
      <c r="C104" s="34" t="s">
        <v>1148</v>
      </c>
      <c r="D104" s="41">
        <v>187000.0</v>
      </c>
      <c r="E104" s="395" t="s">
        <v>1149</v>
      </c>
      <c r="F104" s="41">
        <v>0.0</v>
      </c>
      <c r="G104" s="41">
        <v>12000.0</v>
      </c>
      <c r="H104" s="41">
        <v>0.0</v>
      </c>
      <c r="I104" s="144">
        <f t="shared" ref="I104:I105" si="3">D104+G104</f>
        <v>199000</v>
      </c>
      <c r="J104" s="395" t="s">
        <v>1151</v>
      </c>
      <c r="K104" s="395" t="s">
        <v>1153</v>
      </c>
      <c r="L104" s="34" t="s">
        <v>773</v>
      </c>
      <c r="M104" s="34" t="s">
        <v>773</v>
      </c>
      <c r="N104" s="34" t="s">
        <v>1044</v>
      </c>
      <c r="O104" s="34" t="s">
        <v>773</v>
      </c>
      <c r="P104" s="34" t="s">
        <v>773</v>
      </c>
      <c r="Q104" s="34" t="s">
        <v>777</v>
      </c>
      <c r="R104" s="77" t="s">
        <v>1154</v>
      </c>
      <c r="S104" s="44">
        <v>46246.0</v>
      </c>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row>
    <row r="105">
      <c r="A105" s="33">
        <v>46238.0</v>
      </c>
      <c r="B105" s="110" t="s">
        <v>479</v>
      </c>
      <c r="C105" s="110" t="s">
        <v>1155</v>
      </c>
      <c r="D105" s="244">
        <v>197000.0</v>
      </c>
      <c r="E105" s="415" t="s">
        <v>1156</v>
      </c>
      <c r="F105" s="41">
        <v>48000.0</v>
      </c>
      <c r="G105" s="41">
        <v>3500.0</v>
      </c>
      <c r="H105" s="41">
        <v>0.0</v>
      </c>
      <c r="I105" s="144">
        <f t="shared" si="3"/>
        <v>200500</v>
      </c>
      <c r="J105" s="415" t="s">
        <v>1157</v>
      </c>
      <c r="K105" s="415" t="s">
        <v>1159</v>
      </c>
      <c r="L105" s="34" t="s">
        <v>773</v>
      </c>
      <c r="M105" s="34" t="s">
        <v>773</v>
      </c>
      <c r="N105" s="34" t="s">
        <v>776</v>
      </c>
      <c r="O105" s="34" t="s">
        <v>773</v>
      </c>
      <c r="P105" s="34" t="s">
        <v>773</v>
      </c>
      <c r="Q105" s="34" t="s">
        <v>777</v>
      </c>
      <c r="R105" s="186"/>
      <c r="S105" s="463">
        <v>46246.0</v>
      </c>
    </row>
    <row r="106">
      <c r="A106" s="109">
        <v>46240.0</v>
      </c>
      <c r="B106" s="110" t="s">
        <v>1163</v>
      </c>
      <c r="C106" s="110" t="s">
        <v>1164</v>
      </c>
      <c r="D106" s="321">
        <v>191400.0</v>
      </c>
      <c r="E106" s="387" t="s">
        <v>1165</v>
      </c>
      <c r="F106" s="321">
        <v>120000.0</v>
      </c>
      <c r="G106" s="321">
        <v>18200.0</v>
      </c>
      <c r="H106" s="321">
        <v>0.0</v>
      </c>
      <c r="I106" s="321">
        <v>209600.0</v>
      </c>
      <c r="J106" s="387" t="s">
        <v>1168</v>
      </c>
      <c r="K106" s="387" t="s">
        <v>1170</v>
      </c>
      <c r="L106" s="110" t="s">
        <v>773</v>
      </c>
      <c r="M106" s="110" t="s">
        <v>773</v>
      </c>
      <c r="N106" s="110" t="s">
        <v>1175</v>
      </c>
      <c r="O106" s="110" t="s">
        <v>773</v>
      </c>
      <c r="P106" s="110" t="s">
        <v>773</v>
      </c>
      <c r="Q106" s="110" t="s">
        <v>777</v>
      </c>
      <c r="R106" s="1"/>
      <c r="S106" s="1"/>
    </row>
    <row r="107">
      <c r="A107" s="109">
        <v>46241.0</v>
      </c>
      <c r="B107" s="173" t="s">
        <v>1176</v>
      </c>
      <c r="C107" s="110" t="s">
        <v>1177</v>
      </c>
      <c r="D107" s="321">
        <v>209000.0</v>
      </c>
      <c r="E107" s="387" t="s">
        <v>1178</v>
      </c>
      <c r="F107" s="321">
        <v>138000.0</v>
      </c>
      <c r="G107" s="110">
        <v>0.0</v>
      </c>
      <c r="H107" s="321">
        <v>0.0</v>
      </c>
      <c r="I107" s="321">
        <v>209000.0</v>
      </c>
      <c r="J107" s="387" t="s">
        <v>1180</v>
      </c>
      <c r="K107" s="387" t="s">
        <v>1183</v>
      </c>
      <c r="L107" s="110" t="s">
        <v>773</v>
      </c>
      <c r="M107" s="110" t="s">
        <v>773</v>
      </c>
      <c r="N107" s="110" t="s">
        <v>1187</v>
      </c>
      <c r="O107" s="110" t="s">
        <v>773</v>
      </c>
      <c r="P107" s="110" t="s">
        <v>773</v>
      </c>
      <c r="Q107" s="110" t="s">
        <v>777</v>
      </c>
      <c r="R107" s="1"/>
      <c r="S107" s="1"/>
    </row>
    <row r="108">
      <c r="A108" s="109">
        <v>46242.0</v>
      </c>
      <c r="B108" s="110" t="s">
        <v>68</v>
      </c>
      <c r="C108" s="110" t="s">
        <v>1189</v>
      </c>
      <c r="D108" s="321">
        <v>180000.0</v>
      </c>
      <c r="E108" s="387" t="s">
        <v>1190</v>
      </c>
      <c r="F108" s="321">
        <v>0.0</v>
      </c>
      <c r="G108" s="321">
        <v>8000.0</v>
      </c>
      <c r="H108" s="321">
        <v>0.0</v>
      </c>
      <c r="I108" s="321">
        <v>188000.0</v>
      </c>
      <c r="J108" s="110" t="s">
        <v>880</v>
      </c>
      <c r="K108" s="387" t="s">
        <v>1183</v>
      </c>
      <c r="L108" s="110" t="s">
        <v>880</v>
      </c>
      <c r="M108" s="110" t="s">
        <v>836</v>
      </c>
      <c r="N108" s="110" t="s">
        <v>1198</v>
      </c>
      <c r="O108" s="110" t="s">
        <v>773</v>
      </c>
      <c r="P108" s="1"/>
      <c r="Q108" s="1"/>
      <c r="R108" s="1"/>
      <c r="S108" s="1"/>
    </row>
    <row r="109">
      <c r="A109" s="109">
        <v>46243.0</v>
      </c>
      <c r="B109" s="110" t="s">
        <v>1201</v>
      </c>
      <c r="C109" s="110" t="s">
        <v>1202</v>
      </c>
      <c r="D109" s="321">
        <v>224000.0</v>
      </c>
      <c r="E109" s="387" t="s">
        <v>1190</v>
      </c>
      <c r="F109" s="321">
        <v>96000.0</v>
      </c>
      <c r="G109" s="321">
        <v>37000.0</v>
      </c>
      <c r="H109" s="321">
        <v>0.0</v>
      </c>
      <c r="I109" s="321">
        <v>224000.0</v>
      </c>
      <c r="J109" s="387" t="s">
        <v>1205</v>
      </c>
      <c r="K109" s="387" t="s">
        <v>1207</v>
      </c>
      <c r="L109" s="110" t="s">
        <v>773</v>
      </c>
      <c r="M109" s="110" t="s">
        <v>773</v>
      </c>
      <c r="N109" s="110" t="s">
        <v>1210</v>
      </c>
      <c r="O109" s="110" t="s">
        <v>773</v>
      </c>
      <c r="P109" s="110" t="s">
        <v>773</v>
      </c>
      <c r="Q109" s="110" t="s">
        <v>777</v>
      </c>
      <c r="R109" s="1"/>
      <c r="S109" s="1"/>
    </row>
    <row r="110">
      <c r="A110" s="109">
        <v>46252.0</v>
      </c>
      <c r="B110" s="110" t="s">
        <v>1213</v>
      </c>
      <c r="C110" s="110" t="s">
        <v>1214</v>
      </c>
      <c r="D110" s="321">
        <v>207000.0</v>
      </c>
      <c r="E110" s="387" t="s">
        <v>1216</v>
      </c>
      <c r="F110" s="321">
        <v>480000.0</v>
      </c>
      <c r="G110" s="321">
        <v>0.0</v>
      </c>
      <c r="H110" s="321">
        <v>0.0</v>
      </c>
      <c r="I110" s="321">
        <v>147000.0</v>
      </c>
      <c r="J110" s="387" t="s">
        <v>1221</v>
      </c>
      <c r="K110" s="387" t="s">
        <v>1222</v>
      </c>
      <c r="L110" s="110" t="s">
        <v>773</v>
      </c>
      <c r="M110" s="110" t="s">
        <v>773</v>
      </c>
      <c r="N110" s="110" t="s">
        <v>1227</v>
      </c>
      <c r="O110" s="110" t="s">
        <v>773</v>
      </c>
      <c r="P110" s="1"/>
      <c r="Q110" s="1"/>
      <c r="R110" s="1"/>
      <c r="S110" s="1"/>
    </row>
    <row r="115">
      <c r="B115" s="360" t="s">
        <v>1230</v>
      </c>
      <c r="C115" s="4"/>
      <c r="D115" s="4"/>
      <c r="E115" s="4"/>
      <c r="F115" s="4"/>
      <c r="G115" s="4"/>
      <c r="H115" s="4"/>
      <c r="I115" s="4"/>
      <c r="J115" s="4"/>
      <c r="K115" s="4"/>
      <c r="L115" s="4"/>
      <c r="M115" s="4"/>
      <c r="N115" s="4"/>
      <c r="O115" s="4"/>
      <c r="P115" s="4"/>
      <c r="Q115" s="4"/>
      <c r="R115" s="4"/>
      <c r="S115" s="6"/>
    </row>
    <row r="116">
      <c r="A116" s="306" t="s">
        <v>10</v>
      </c>
      <c r="B116" s="308" t="s">
        <v>13</v>
      </c>
      <c r="C116" s="311" t="s">
        <v>11</v>
      </c>
      <c r="D116" s="312" t="s">
        <v>693</v>
      </c>
      <c r="E116" s="313" t="s">
        <v>15</v>
      </c>
      <c r="F116" s="308" t="s">
        <v>698</v>
      </c>
      <c r="G116" s="308" t="s">
        <v>700</v>
      </c>
      <c r="H116" s="308" t="s">
        <v>701</v>
      </c>
      <c r="I116" s="308" t="s">
        <v>704</v>
      </c>
      <c r="J116" s="308" t="s">
        <v>706</v>
      </c>
      <c r="K116" s="308" t="s">
        <v>707</v>
      </c>
      <c r="L116" s="308" t="s">
        <v>709</v>
      </c>
      <c r="M116" s="308" t="s">
        <v>710</v>
      </c>
      <c r="N116" s="308" t="s">
        <v>711</v>
      </c>
      <c r="O116" s="308" t="s">
        <v>712</v>
      </c>
      <c r="P116" s="308" t="s">
        <v>714</v>
      </c>
      <c r="Q116" s="308" t="s">
        <v>717</v>
      </c>
      <c r="R116" s="308" t="s">
        <v>719</v>
      </c>
      <c r="S116" s="308" t="s">
        <v>721</v>
      </c>
    </row>
    <row r="117">
      <c r="A117" s="109">
        <v>46235.0</v>
      </c>
      <c r="B117" s="110" t="s">
        <v>1234</v>
      </c>
      <c r="C117" s="110" t="s">
        <v>1235</v>
      </c>
      <c r="D117" s="321">
        <v>180000.0</v>
      </c>
      <c r="E117" s="415" t="s">
        <v>1237</v>
      </c>
      <c r="F117" s="321">
        <v>0.0</v>
      </c>
      <c r="G117" s="321">
        <v>0.0</v>
      </c>
      <c r="H117" s="321">
        <v>0.0</v>
      </c>
      <c r="I117" s="321">
        <v>180000.0</v>
      </c>
      <c r="J117" s="110">
        <v>0.0</v>
      </c>
      <c r="K117" s="494" t="s">
        <v>1241</v>
      </c>
      <c r="L117" s="34" t="s">
        <v>773</v>
      </c>
      <c r="M117" s="34" t="s">
        <v>773</v>
      </c>
      <c r="N117" s="34" t="s">
        <v>1245</v>
      </c>
      <c r="O117" s="34" t="s">
        <v>773</v>
      </c>
      <c r="P117" s="34" t="s">
        <v>773</v>
      </c>
      <c r="Q117" s="34" t="s">
        <v>1015</v>
      </c>
      <c r="R117" s="34"/>
      <c r="S117" s="32"/>
      <c r="T117" s="89"/>
      <c r="U117" s="89"/>
      <c r="V117" s="89"/>
      <c r="W117" s="89"/>
      <c r="X117" s="89"/>
      <c r="Y117" s="89"/>
      <c r="Z117" s="89"/>
      <c r="AA117" s="89"/>
      <c r="AB117" s="89"/>
      <c r="AC117" s="89"/>
      <c r="AD117" s="89"/>
      <c r="AE117" s="89"/>
      <c r="AF117" s="89"/>
      <c r="AG117" s="89"/>
      <c r="AH117" s="89"/>
      <c r="AI117" s="89"/>
      <c r="AJ117" s="89"/>
      <c r="AK117" s="89"/>
      <c r="AL117" s="89"/>
      <c r="AM117" s="89"/>
      <c r="AN117" s="89"/>
      <c r="AO117" s="89"/>
      <c r="AP117" s="89"/>
      <c r="AQ117" s="89"/>
      <c r="AR117" s="89"/>
      <c r="AS117" s="89"/>
      <c r="AT117" s="89"/>
      <c r="AU117" s="89"/>
      <c r="AV117" s="89"/>
      <c r="AW117" s="89"/>
    </row>
    <row r="118">
      <c r="A118" s="109">
        <v>46243.0</v>
      </c>
      <c r="B118" s="110" t="s">
        <v>1248</v>
      </c>
      <c r="C118" s="110" t="s">
        <v>1249</v>
      </c>
      <c r="D118" s="244">
        <v>181200.0</v>
      </c>
      <c r="E118" s="163" t="s">
        <v>1015</v>
      </c>
      <c r="F118" s="244">
        <v>120000.0</v>
      </c>
      <c r="G118" s="244">
        <v>0.0</v>
      </c>
      <c r="H118" s="321">
        <v>0.0</v>
      </c>
      <c r="I118" s="400">
        <f>D118-50000</f>
        <v>131200</v>
      </c>
      <c r="J118" s="110">
        <v>0.0</v>
      </c>
      <c r="K118" s="415" t="s">
        <v>1251</v>
      </c>
      <c r="L118" s="34" t="s">
        <v>773</v>
      </c>
      <c r="M118" s="34" t="s">
        <v>773</v>
      </c>
      <c r="N118" s="110" t="s">
        <v>1254</v>
      </c>
      <c r="O118" s="34" t="s">
        <v>773</v>
      </c>
      <c r="P118" s="34" t="s">
        <v>773</v>
      </c>
      <c r="Q118" s="34" t="s">
        <v>1015</v>
      </c>
      <c r="R118" s="186"/>
      <c r="S118" s="186"/>
    </row>
    <row r="123">
      <c r="B123" s="360" t="s">
        <v>1256</v>
      </c>
      <c r="C123" s="4"/>
      <c r="D123" s="4"/>
      <c r="E123" s="4"/>
      <c r="F123" s="4"/>
      <c r="G123" s="4"/>
      <c r="H123" s="4"/>
      <c r="I123" s="4"/>
      <c r="J123" s="4"/>
      <c r="K123" s="4"/>
      <c r="L123" s="4"/>
      <c r="M123" s="4"/>
      <c r="N123" s="4"/>
      <c r="O123" s="4"/>
      <c r="P123" s="4"/>
      <c r="Q123" s="4"/>
      <c r="R123" s="4"/>
      <c r="S123" s="6"/>
    </row>
    <row r="124">
      <c r="A124" s="306" t="s">
        <v>10</v>
      </c>
      <c r="B124" s="308" t="s">
        <v>13</v>
      </c>
      <c r="C124" s="311" t="s">
        <v>11</v>
      </c>
      <c r="D124" s="312" t="s">
        <v>693</v>
      </c>
      <c r="E124" s="313" t="s">
        <v>15</v>
      </c>
      <c r="F124" s="308" t="s">
        <v>698</v>
      </c>
      <c r="G124" s="308" t="s">
        <v>700</v>
      </c>
      <c r="H124" s="308" t="s">
        <v>701</v>
      </c>
      <c r="I124" s="308" t="s">
        <v>704</v>
      </c>
      <c r="J124" s="308" t="s">
        <v>706</v>
      </c>
      <c r="K124" s="308" t="s">
        <v>707</v>
      </c>
      <c r="L124" s="308" t="s">
        <v>709</v>
      </c>
      <c r="M124" s="308" t="s">
        <v>710</v>
      </c>
      <c r="N124" s="308" t="s">
        <v>711</v>
      </c>
      <c r="O124" s="308" t="s">
        <v>712</v>
      </c>
      <c r="P124" s="308" t="s">
        <v>714</v>
      </c>
      <c r="Q124" s="308" t="s">
        <v>717</v>
      </c>
      <c r="R124" s="308" t="s">
        <v>719</v>
      </c>
      <c r="S124" s="308" t="s">
        <v>721</v>
      </c>
    </row>
    <row r="125">
      <c r="A125" s="172"/>
      <c r="B125" s="173"/>
      <c r="C125" s="173"/>
      <c r="D125" s="244"/>
      <c r="E125" s="173"/>
      <c r="F125" s="244"/>
      <c r="G125" s="244"/>
      <c r="H125" s="173"/>
      <c r="I125" s="186"/>
      <c r="J125" s="173"/>
      <c r="K125" s="173"/>
      <c r="L125" s="173"/>
      <c r="M125" s="173"/>
      <c r="N125" s="173"/>
      <c r="O125" s="173"/>
      <c r="P125" s="173"/>
      <c r="Q125" s="173"/>
      <c r="R125" s="1"/>
      <c r="S125" s="172"/>
    </row>
    <row r="134">
      <c r="B134" s="360" t="s">
        <v>1264</v>
      </c>
      <c r="C134" s="4"/>
      <c r="D134" s="4"/>
      <c r="E134" s="4"/>
      <c r="F134" s="4"/>
      <c r="G134" s="4"/>
      <c r="H134" s="4"/>
      <c r="I134" s="4"/>
      <c r="J134" s="4"/>
      <c r="K134" s="4"/>
      <c r="L134" s="4"/>
      <c r="M134" s="4"/>
      <c r="N134" s="4"/>
      <c r="O134" s="4"/>
      <c r="P134" s="4"/>
      <c r="Q134" s="4"/>
      <c r="R134" s="4"/>
      <c r="S134" s="6"/>
    </row>
    <row r="135">
      <c r="A135" s="306" t="s">
        <v>10</v>
      </c>
      <c r="B135" s="308" t="s">
        <v>13</v>
      </c>
      <c r="C135" s="311" t="s">
        <v>11</v>
      </c>
      <c r="D135" s="312" t="s">
        <v>693</v>
      </c>
      <c r="E135" s="313" t="s">
        <v>15</v>
      </c>
      <c r="F135" s="308" t="s">
        <v>698</v>
      </c>
      <c r="G135" s="308" t="s">
        <v>700</v>
      </c>
      <c r="H135" s="308" t="s">
        <v>701</v>
      </c>
      <c r="I135" s="308" t="s">
        <v>704</v>
      </c>
      <c r="J135" s="308" t="s">
        <v>706</v>
      </c>
      <c r="K135" s="308" t="s">
        <v>707</v>
      </c>
      <c r="L135" s="308" t="s">
        <v>709</v>
      </c>
      <c r="M135" s="308" t="s">
        <v>710</v>
      </c>
      <c r="N135" s="308" t="s">
        <v>711</v>
      </c>
      <c r="O135" s="308" t="s">
        <v>712</v>
      </c>
      <c r="P135" s="308" t="s">
        <v>714</v>
      </c>
      <c r="Q135" s="308" t="s">
        <v>717</v>
      </c>
      <c r="R135" s="308" t="s">
        <v>719</v>
      </c>
      <c r="S135" s="308" t="s">
        <v>721</v>
      </c>
    </row>
    <row r="136">
      <c r="A136" s="55">
        <v>46238.0</v>
      </c>
      <c r="B136" s="57" t="s">
        <v>1272</v>
      </c>
      <c r="C136" s="57" t="s">
        <v>1274</v>
      </c>
      <c r="D136" s="108">
        <v>224000.0</v>
      </c>
      <c r="E136" s="57" t="s">
        <v>1275</v>
      </c>
      <c r="F136" s="108">
        <v>96000.0</v>
      </c>
      <c r="G136" s="108">
        <v>0.0</v>
      </c>
      <c r="H136" s="108">
        <v>0.0</v>
      </c>
      <c r="I136" s="504">
        <f>D136</f>
        <v>224000</v>
      </c>
      <c r="J136" s="508" t="s">
        <v>1277</v>
      </c>
      <c r="K136" s="508" t="s">
        <v>1282</v>
      </c>
      <c r="L136" s="57" t="s">
        <v>773</v>
      </c>
      <c r="M136" s="57" t="s">
        <v>773</v>
      </c>
      <c r="N136" s="57" t="s">
        <v>776</v>
      </c>
      <c r="O136" s="57" t="s">
        <v>773</v>
      </c>
      <c r="P136" s="57" t="s">
        <v>773</v>
      </c>
      <c r="Q136" s="57" t="s">
        <v>777</v>
      </c>
      <c r="R136" s="512"/>
      <c r="S136" s="55"/>
      <c r="T136" s="514"/>
      <c r="U136" s="514"/>
      <c r="V136" s="514"/>
      <c r="W136" s="514"/>
      <c r="X136" s="514"/>
      <c r="Y136" s="514"/>
      <c r="Z136" s="514"/>
      <c r="AA136" s="514"/>
      <c r="AB136" s="514"/>
      <c r="AC136" s="514"/>
      <c r="AD136" s="514"/>
      <c r="AE136" s="514"/>
      <c r="AF136" s="514"/>
      <c r="AG136" s="514"/>
      <c r="AH136" s="514"/>
      <c r="AI136" s="514"/>
      <c r="AJ136" s="514"/>
      <c r="AK136" s="514"/>
      <c r="AL136" s="514"/>
      <c r="AM136" s="514"/>
      <c r="AN136" s="514"/>
      <c r="AO136" s="514"/>
      <c r="AP136" s="514"/>
      <c r="AQ136" s="514"/>
      <c r="AR136" s="514"/>
      <c r="AS136" s="514"/>
      <c r="AT136" s="514"/>
      <c r="AU136" s="514"/>
      <c r="AV136" s="514"/>
      <c r="AW136" s="514"/>
    </row>
    <row r="137">
      <c r="A137" s="55">
        <v>46235.0</v>
      </c>
      <c r="B137" s="61" t="s">
        <v>1287</v>
      </c>
      <c r="C137" s="516" t="s">
        <v>1288</v>
      </c>
      <c r="D137" s="108">
        <v>179000.0</v>
      </c>
      <c r="E137" s="57" t="s">
        <v>1292</v>
      </c>
      <c r="F137" s="108">
        <v>0.0</v>
      </c>
      <c r="G137" s="108">
        <f>2600+8000</f>
        <v>10600</v>
      </c>
      <c r="H137" s="108">
        <v>0.0</v>
      </c>
      <c r="I137" s="504">
        <f>D137+G137</f>
        <v>189600</v>
      </c>
      <c r="J137" s="519" t="s">
        <v>1297</v>
      </c>
      <c r="K137" s="508" t="s">
        <v>1301</v>
      </c>
      <c r="L137" s="57" t="s">
        <v>773</v>
      </c>
      <c r="M137" s="57" t="s">
        <v>773</v>
      </c>
      <c r="N137" s="57" t="s">
        <v>776</v>
      </c>
      <c r="O137" s="57" t="s">
        <v>773</v>
      </c>
      <c r="P137" s="57" t="s">
        <v>773</v>
      </c>
      <c r="Q137" s="57" t="s">
        <v>777</v>
      </c>
      <c r="R137" s="512"/>
      <c r="S137" s="151"/>
      <c r="T137" s="522"/>
      <c r="U137" s="522"/>
      <c r="V137" s="522"/>
      <c r="W137" s="522"/>
      <c r="X137" s="522"/>
      <c r="Y137" s="522"/>
      <c r="Z137" s="522"/>
      <c r="AA137" s="522"/>
      <c r="AB137" s="522"/>
      <c r="AC137" s="522"/>
      <c r="AD137" s="522"/>
      <c r="AE137" s="522"/>
      <c r="AF137" s="522"/>
      <c r="AG137" s="522"/>
      <c r="AH137" s="522"/>
      <c r="AI137" s="522"/>
      <c r="AJ137" s="522"/>
      <c r="AK137" s="522"/>
      <c r="AL137" s="522"/>
      <c r="AM137" s="522"/>
      <c r="AN137" s="522"/>
      <c r="AO137" s="522"/>
      <c r="AP137" s="522"/>
      <c r="AQ137" s="522"/>
      <c r="AR137" s="522"/>
      <c r="AS137" s="522"/>
      <c r="AT137" s="522"/>
      <c r="AU137" s="522"/>
      <c r="AV137" s="522"/>
      <c r="AW137" s="522"/>
    </row>
    <row r="138">
      <c r="A138" s="55">
        <v>46239.0</v>
      </c>
      <c r="B138" s="61" t="s">
        <v>54</v>
      </c>
      <c r="C138" s="524" t="s">
        <v>1306</v>
      </c>
      <c r="D138" s="525">
        <v>187000.0</v>
      </c>
      <c r="E138" s="57" t="s">
        <v>1307</v>
      </c>
      <c r="F138" s="525">
        <v>126000.0</v>
      </c>
      <c r="G138" s="108">
        <v>0.0</v>
      </c>
      <c r="H138" s="108">
        <v>0.0</v>
      </c>
      <c r="I138" s="526">
        <f t="shared" ref="I138:I139" si="4">D138</f>
        <v>187000</v>
      </c>
      <c r="J138" s="527" t="s">
        <v>1308</v>
      </c>
      <c r="K138" s="530" t="s">
        <v>1310</v>
      </c>
      <c r="L138" s="516" t="s">
        <v>773</v>
      </c>
      <c r="M138" s="516" t="s">
        <v>773</v>
      </c>
      <c r="N138" s="57" t="s">
        <v>776</v>
      </c>
      <c r="O138" s="57" t="s">
        <v>773</v>
      </c>
      <c r="P138" s="57" t="s">
        <v>773</v>
      </c>
      <c r="Q138" s="57" t="s">
        <v>777</v>
      </c>
      <c r="R138" s="531"/>
      <c r="S138" s="531"/>
      <c r="T138" s="532"/>
      <c r="U138" s="532"/>
      <c r="V138" s="532"/>
      <c r="W138" s="532"/>
      <c r="X138" s="532"/>
      <c r="Y138" s="532"/>
      <c r="Z138" s="532"/>
      <c r="AA138" s="532"/>
      <c r="AB138" s="532"/>
      <c r="AC138" s="532"/>
      <c r="AD138" s="532"/>
      <c r="AE138" s="532"/>
      <c r="AF138" s="532"/>
      <c r="AG138" s="532"/>
      <c r="AH138" s="532"/>
      <c r="AI138" s="532"/>
      <c r="AJ138" s="532"/>
      <c r="AK138" s="532"/>
      <c r="AL138" s="532"/>
      <c r="AM138" s="532"/>
      <c r="AN138" s="532"/>
      <c r="AO138" s="532"/>
      <c r="AP138" s="532"/>
      <c r="AQ138" s="532"/>
      <c r="AR138" s="532"/>
      <c r="AS138" s="532"/>
      <c r="AT138" s="532"/>
      <c r="AU138" s="532"/>
      <c r="AV138" s="532"/>
      <c r="AW138" s="532"/>
    </row>
    <row r="139">
      <c r="A139" s="55">
        <v>46241.0</v>
      </c>
      <c r="B139" s="54" t="s">
        <v>1316</v>
      </c>
      <c r="C139" s="57" t="s">
        <v>1317</v>
      </c>
      <c r="D139" s="108">
        <v>202000.0</v>
      </c>
      <c r="E139" s="508" t="s">
        <v>1318</v>
      </c>
      <c r="F139" s="108">
        <v>0.0</v>
      </c>
      <c r="G139" s="108">
        <v>0.0</v>
      </c>
      <c r="H139" s="108">
        <v>0.0</v>
      </c>
      <c r="I139" s="526">
        <f t="shared" si="4"/>
        <v>202000</v>
      </c>
      <c r="J139" s="535"/>
      <c r="K139" s="508" t="s">
        <v>1320</v>
      </c>
      <c r="L139" s="516" t="s">
        <v>773</v>
      </c>
      <c r="M139" s="516" t="s">
        <v>773</v>
      </c>
      <c r="N139" s="57" t="s">
        <v>776</v>
      </c>
      <c r="O139" s="57" t="s">
        <v>773</v>
      </c>
      <c r="P139" s="57" t="s">
        <v>773</v>
      </c>
      <c r="Q139" s="57" t="s">
        <v>777</v>
      </c>
      <c r="R139" s="531"/>
      <c r="S139" s="512"/>
      <c r="T139" s="522"/>
      <c r="U139" s="522"/>
      <c r="V139" s="522"/>
      <c r="W139" s="522"/>
      <c r="X139" s="522"/>
      <c r="Y139" s="522"/>
      <c r="Z139" s="522"/>
      <c r="AA139" s="522"/>
      <c r="AB139" s="522"/>
      <c r="AC139" s="522"/>
      <c r="AD139" s="522"/>
      <c r="AE139" s="522"/>
      <c r="AF139" s="522"/>
      <c r="AG139" s="522"/>
      <c r="AH139" s="522"/>
      <c r="AI139" s="522"/>
      <c r="AJ139" s="522"/>
      <c r="AK139" s="522"/>
      <c r="AL139" s="522"/>
      <c r="AM139" s="522"/>
      <c r="AN139" s="522"/>
      <c r="AO139" s="522"/>
      <c r="AP139" s="522"/>
      <c r="AQ139" s="522"/>
      <c r="AR139" s="522"/>
      <c r="AS139" s="522"/>
      <c r="AT139" s="522"/>
      <c r="AU139" s="522"/>
      <c r="AV139" s="522"/>
      <c r="AW139" s="522"/>
    </row>
    <row r="140">
      <c r="A140" s="55">
        <v>46243.0</v>
      </c>
      <c r="B140" s="177" t="s">
        <v>171</v>
      </c>
      <c r="C140" s="177" t="s">
        <v>1326</v>
      </c>
      <c r="D140" s="537">
        <v>212000.0</v>
      </c>
      <c r="E140" s="387" t="s">
        <v>1327</v>
      </c>
      <c r="F140" s="108">
        <v>0.0</v>
      </c>
      <c r="G140" s="108">
        <v>18000.0</v>
      </c>
      <c r="H140" s="108">
        <v>0.0</v>
      </c>
      <c r="I140" s="539">
        <f>D140-G140</f>
        <v>194000</v>
      </c>
      <c r="J140" s="110" t="s">
        <v>880</v>
      </c>
      <c r="K140" s="387" t="s">
        <v>1331</v>
      </c>
      <c r="L140" s="34" t="s">
        <v>880</v>
      </c>
      <c r="M140" s="516" t="s">
        <v>773</v>
      </c>
      <c r="N140" s="34" t="s">
        <v>1335</v>
      </c>
      <c r="O140" s="57" t="s">
        <v>773</v>
      </c>
      <c r="P140" s="57" t="s">
        <v>773</v>
      </c>
      <c r="Q140" s="57" t="s">
        <v>777</v>
      </c>
      <c r="R140" s="1"/>
      <c r="S140" s="1"/>
    </row>
    <row r="146">
      <c r="B146" s="360" t="s">
        <v>1336</v>
      </c>
      <c r="C146" s="4"/>
      <c r="D146" s="4"/>
      <c r="E146" s="4"/>
      <c r="F146" s="4"/>
      <c r="G146" s="4"/>
      <c r="H146" s="4"/>
      <c r="I146" s="4"/>
      <c r="J146" s="4"/>
      <c r="K146" s="4"/>
      <c r="L146" s="4"/>
      <c r="M146" s="4"/>
      <c r="N146" s="4"/>
      <c r="O146" s="4"/>
      <c r="P146" s="4"/>
      <c r="Q146" s="4"/>
      <c r="R146" s="4"/>
      <c r="S146" s="6"/>
    </row>
    <row r="147">
      <c r="A147" s="306" t="s">
        <v>10</v>
      </c>
      <c r="B147" s="308" t="s">
        <v>13</v>
      </c>
      <c r="C147" s="311" t="s">
        <v>11</v>
      </c>
      <c r="D147" s="312" t="s">
        <v>693</v>
      </c>
      <c r="E147" s="313" t="s">
        <v>15</v>
      </c>
      <c r="F147" s="308" t="s">
        <v>698</v>
      </c>
      <c r="G147" s="308" t="s">
        <v>700</v>
      </c>
      <c r="H147" s="308" t="s">
        <v>701</v>
      </c>
      <c r="I147" s="308" t="s">
        <v>704</v>
      </c>
      <c r="J147" s="308" t="s">
        <v>706</v>
      </c>
      <c r="K147" s="308" t="s">
        <v>707</v>
      </c>
      <c r="L147" s="308" t="s">
        <v>709</v>
      </c>
      <c r="M147" s="308" t="s">
        <v>710</v>
      </c>
      <c r="N147" s="308" t="s">
        <v>711</v>
      </c>
      <c r="O147" s="308" t="s">
        <v>712</v>
      </c>
      <c r="P147" s="308" t="s">
        <v>714</v>
      </c>
      <c r="Q147" s="308" t="s">
        <v>717</v>
      </c>
      <c r="R147" s="308" t="s">
        <v>719</v>
      </c>
      <c r="S147" s="308" t="s">
        <v>721</v>
      </c>
    </row>
    <row r="148">
      <c r="A148" s="158"/>
      <c r="B148" s="77"/>
      <c r="C148" s="77"/>
      <c r="D148" s="129"/>
      <c r="E148" s="77"/>
      <c r="F148" s="41"/>
      <c r="G148" s="34"/>
      <c r="H148" s="34"/>
      <c r="I148" s="144"/>
      <c r="J148" s="77"/>
      <c r="K148" s="77"/>
      <c r="L148" s="77"/>
      <c r="M148" s="77"/>
      <c r="N148" s="77"/>
      <c r="O148" s="77"/>
      <c r="P148" s="77"/>
      <c r="Q148" s="77"/>
      <c r="R148" s="241"/>
      <c r="S148" s="77"/>
      <c r="T148" s="542"/>
      <c r="U148" s="542"/>
      <c r="V148" s="542"/>
      <c r="W148" s="542"/>
      <c r="X148" s="542"/>
      <c r="Y148" s="542"/>
      <c r="Z148" s="542"/>
      <c r="AA148" s="542"/>
      <c r="AB148" s="542"/>
      <c r="AC148" s="542"/>
      <c r="AD148" s="542"/>
      <c r="AE148" s="542"/>
      <c r="AF148" s="542"/>
      <c r="AG148" s="542"/>
      <c r="AH148" s="542"/>
      <c r="AI148" s="542"/>
      <c r="AJ148" s="542"/>
      <c r="AK148" s="542"/>
      <c r="AL148" s="542"/>
      <c r="AM148" s="542"/>
      <c r="AN148" s="542"/>
      <c r="AO148" s="542"/>
      <c r="AP148" s="542"/>
      <c r="AQ148" s="542"/>
      <c r="AR148" s="542"/>
      <c r="AS148" s="542"/>
      <c r="AT148" s="542"/>
      <c r="AU148" s="542"/>
      <c r="AV148" s="542"/>
      <c r="AW148" s="542"/>
    </row>
    <row r="152">
      <c r="B152" s="360" t="s">
        <v>1346</v>
      </c>
      <c r="C152" s="4"/>
      <c r="D152" s="4"/>
      <c r="E152" s="4"/>
      <c r="F152" s="4"/>
      <c r="G152" s="4"/>
      <c r="H152" s="4"/>
      <c r="I152" s="4"/>
      <c r="J152" s="4"/>
      <c r="K152" s="4"/>
      <c r="L152" s="4"/>
      <c r="M152" s="4"/>
      <c r="N152" s="4"/>
      <c r="O152" s="4"/>
      <c r="P152" s="4"/>
      <c r="Q152" s="4"/>
      <c r="R152" s="4"/>
      <c r="S152" s="6"/>
    </row>
    <row r="153">
      <c r="A153" s="306" t="s">
        <v>10</v>
      </c>
      <c r="B153" s="308" t="s">
        <v>13</v>
      </c>
      <c r="C153" s="311" t="s">
        <v>11</v>
      </c>
      <c r="D153" s="312" t="s">
        <v>693</v>
      </c>
      <c r="E153" s="313" t="s">
        <v>15</v>
      </c>
      <c r="F153" s="308" t="s">
        <v>698</v>
      </c>
      <c r="G153" s="308" t="s">
        <v>700</v>
      </c>
      <c r="H153" s="308" t="s">
        <v>701</v>
      </c>
      <c r="I153" s="308" t="s">
        <v>704</v>
      </c>
      <c r="J153" s="308" t="s">
        <v>706</v>
      </c>
      <c r="K153" s="308" t="s">
        <v>707</v>
      </c>
      <c r="L153" s="308" t="s">
        <v>709</v>
      </c>
      <c r="M153" s="308" t="s">
        <v>710</v>
      </c>
      <c r="N153" s="308" t="s">
        <v>711</v>
      </c>
      <c r="O153" s="308" t="s">
        <v>712</v>
      </c>
      <c r="P153" s="308" t="s">
        <v>714</v>
      </c>
      <c r="Q153" s="308" t="s">
        <v>717</v>
      </c>
      <c r="R153" s="308" t="s">
        <v>719</v>
      </c>
      <c r="S153" s="308" t="s">
        <v>721</v>
      </c>
    </row>
    <row r="154">
      <c r="A154" s="32">
        <v>46238.0</v>
      </c>
      <c r="B154" s="77" t="s">
        <v>1349</v>
      </c>
      <c r="C154" s="34" t="s">
        <v>1350</v>
      </c>
      <c r="D154" s="167">
        <v>202400.0</v>
      </c>
      <c r="E154" s="34" t="s">
        <v>1351</v>
      </c>
      <c r="F154" s="167">
        <v>54000.0</v>
      </c>
      <c r="G154" s="34">
        <v>0.0</v>
      </c>
      <c r="H154" s="167">
        <v>9000.0</v>
      </c>
      <c r="I154" s="144" t="str">
        <f>D154-#REF!</f>
        <v>#REF!</v>
      </c>
      <c r="J154" s="544" t="s">
        <v>1353</v>
      </c>
      <c r="K154" s="544" t="s">
        <v>1356</v>
      </c>
      <c r="L154" s="77" t="s">
        <v>773</v>
      </c>
      <c r="M154" s="77" t="s">
        <v>773</v>
      </c>
      <c r="N154" s="34" t="str">
        <f>#REF!</f>
        <v>#REF!</v>
      </c>
      <c r="O154" s="544" t="s">
        <v>1361</v>
      </c>
      <c r="P154" s="77" t="s">
        <v>773</v>
      </c>
      <c r="Q154" s="77" t="s">
        <v>777</v>
      </c>
      <c r="R154" s="77" t="s">
        <v>1363</v>
      </c>
      <c r="S154" s="77"/>
      <c r="T154" s="546"/>
      <c r="U154" s="546"/>
      <c r="V154" s="546"/>
      <c r="W154" s="546"/>
      <c r="X154" s="546"/>
      <c r="Y154" s="546"/>
      <c r="Z154" s="546"/>
      <c r="AA154" s="546"/>
      <c r="AB154" s="546"/>
      <c r="AC154" s="546"/>
      <c r="AD154" s="546"/>
      <c r="AE154" s="546"/>
      <c r="AF154" s="546"/>
      <c r="AG154" s="546"/>
      <c r="AH154" s="546"/>
      <c r="AI154" s="546"/>
      <c r="AJ154" s="546"/>
      <c r="AK154" s="546"/>
      <c r="AL154" s="546"/>
      <c r="AM154" s="546"/>
      <c r="AN154" s="546"/>
      <c r="AO154" s="546"/>
      <c r="AP154" s="546"/>
      <c r="AQ154" s="546"/>
      <c r="AR154" s="546"/>
      <c r="AS154" s="546"/>
      <c r="AT154" s="546"/>
      <c r="AU154" s="546"/>
      <c r="AV154" s="546"/>
      <c r="AW154" s="546"/>
    </row>
    <row r="160">
      <c r="A160" s="547"/>
    </row>
    <row r="161">
      <c r="B161" s="360" t="s">
        <v>1366</v>
      </c>
      <c r="C161" s="4"/>
      <c r="D161" s="4"/>
      <c r="E161" s="4"/>
      <c r="F161" s="4"/>
      <c r="G161" s="4"/>
      <c r="H161" s="4"/>
      <c r="I161" s="4"/>
      <c r="J161" s="4"/>
      <c r="K161" s="4"/>
      <c r="L161" s="4"/>
      <c r="M161" s="4"/>
      <c r="N161" s="4"/>
      <c r="O161" s="4"/>
      <c r="P161" s="4"/>
      <c r="Q161" s="4"/>
      <c r="R161" s="4"/>
      <c r="S161" s="6"/>
    </row>
    <row r="162">
      <c r="A162" s="306" t="s">
        <v>10</v>
      </c>
      <c r="B162" s="308" t="s">
        <v>13</v>
      </c>
      <c r="C162" s="311" t="s">
        <v>11</v>
      </c>
      <c r="D162" s="312" t="s">
        <v>693</v>
      </c>
      <c r="E162" s="313" t="s">
        <v>15</v>
      </c>
      <c r="F162" s="308" t="s">
        <v>698</v>
      </c>
      <c r="G162" s="308" t="s">
        <v>700</v>
      </c>
      <c r="H162" s="308" t="s">
        <v>701</v>
      </c>
      <c r="I162" s="308" t="s">
        <v>704</v>
      </c>
      <c r="J162" s="308" t="s">
        <v>706</v>
      </c>
      <c r="K162" s="308" t="s">
        <v>707</v>
      </c>
      <c r="L162" s="308" t="s">
        <v>709</v>
      </c>
      <c r="M162" s="308" t="s">
        <v>710</v>
      </c>
      <c r="N162" s="308" t="s">
        <v>711</v>
      </c>
      <c r="O162" s="308" t="s">
        <v>712</v>
      </c>
      <c r="P162" s="308" t="s">
        <v>714</v>
      </c>
      <c r="Q162" s="308" t="s">
        <v>717</v>
      </c>
      <c r="R162" s="308" t="s">
        <v>719</v>
      </c>
      <c r="S162" s="308" t="s">
        <v>721</v>
      </c>
    </row>
    <row r="163">
      <c r="A163" s="430">
        <v>46236.0</v>
      </c>
      <c r="B163" s="281" t="s">
        <v>506</v>
      </c>
      <c r="C163" s="281" t="s">
        <v>1370</v>
      </c>
      <c r="D163" s="179">
        <v>187000.0</v>
      </c>
      <c r="E163" s="448" t="s">
        <v>1371</v>
      </c>
      <c r="F163" s="179">
        <v>42000.0</v>
      </c>
      <c r="G163" s="34">
        <v>0.0</v>
      </c>
      <c r="H163" s="34">
        <v>0.0</v>
      </c>
      <c r="I163" s="144">
        <f>D163-14400</f>
        <v>172600</v>
      </c>
      <c r="J163" s="544" t="s">
        <v>1375</v>
      </c>
      <c r="K163" s="544" t="s">
        <v>1378</v>
      </c>
      <c r="L163" s="77" t="s">
        <v>773</v>
      </c>
      <c r="M163" s="77" t="s">
        <v>777</v>
      </c>
      <c r="N163" s="34" t="s">
        <v>1379</v>
      </c>
      <c r="O163" s="77" t="s">
        <v>773</v>
      </c>
      <c r="P163" s="77" t="s">
        <v>773</v>
      </c>
      <c r="Q163" s="77" t="s">
        <v>1015</v>
      </c>
      <c r="R163" s="77"/>
      <c r="S163" s="77"/>
      <c r="T163" s="546"/>
      <c r="U163" s="546"/>
      <c r="V163" s="546"/>
      <c r="W163" s="546"/>
      <c r="X163" s="546"/>
      <c r="Y163" s="546"/>
      <c r="Z163" s="546"/>
      <c r="AA163" s="546"/>
      <c r="AB163" s="546"/>
      <c r="AC163" s="546"/>
      <c r="AD163" s="546"/>
      <c r="AE163" s="546"/>
      <c r="AF163" s="546"/>
      <c r="AG163" s="546"/>
      <c r="AH163" s="546"/>
      <c r="AI163" s="546"/>
      <c r="AJ163" s="546"/>
      <c r="AK163" s="546"/>
      <c r="AL163" s="546"/>
      <c r="AM163" s="546"/>
      <c r="AN163" s="546"/>
      <c r="AO163" s="546"/>
      <c r="AP163" s="546"/>
      <c r="AQ163" s="546"/>
      <c r="AR163" s="546"/>
      <c r="AS163" s="546"/>
      <c r="AT163" s="546"/>
      <c r="AU163" s="546"/>
      <c r="AV163" s="546"/>
      <c r="AW163" s="546"/>
    </row>
    <row r="168">
      <c r="B168" s="360" t="s">
        <v>1381</v>
      </c>
      <c r="C168" s="4"/>
      <c r="D168" s="4"/>
      <c r="E168" s="4"/>
      <c r="F168" s="4"/>
      <c r="G168" s="4"/>
      <c r="H168" s="4"/>
      <c r="I168" s="4"/>
      <c r="J168" s="4"/>
      <c r="K168" s="4"/>
      <c r="L168" s="4"/>
      <c r="M168" s="4"/>
      <c r="N168" s="4"/>
      <c r="O168" s="4"/>
      <c r="P168" s="4"/>
      <c r="Q168" s="4"/>
      <c r="R168" s="4"/>
      <c r="S168" s="6"/>
    </row>
    <row r="169">
      <c r="A169" s="306" t="s">
        <v>10</v>
      </c>
      <c r="B169" s="308" t="s">
        <v>13</v>
      </c>
      <c r="C169" s="311" t="s">
        <v>11</v>
      </c>
      <c r="D169" s="312" t="s">
        <v>693</v>
      </c>
      <c r="E169" s="313" t="s">
        <v>15</v>
      </c>
      <c r="F169" s="308" t="s">
        <v>698</v>
      </c>
      <c r="G169" s="308" t="s">
        <v>700</v>
      </c>
      <c r="H169" s="308" t="s">
        <v>701</v>
      </c>
      <c r="I169" s="308" t="s">
        <v>704</v>
      </c>
      <c r="J169" s="308" t="s">
        <v>706</v>
      </c>
      <c r="K169" s="308" t="s">
        <v>707</v>
      </c>
      <c r="L169" s="308" t="s">
        <v>709</v>
      </c>
      <c r="M169" s="308" t="s">
        <v>710</v>
      </c>
      <c r="N169" s="308" t="s">
        <v>711</v>
      </c>
      <c r="O169" s="308" t="s">
        <v>712</v>
      </c>
      <c r="P169" s="308" t="s">
        <v>714</v>
      </c>
      <c r="Q169" s="308" t="s">
        <v>717</v>
      </c>
      <c r="R169" s="308" t="s">
        <v>719</v>
      </c>
      <c r="S169" s="308" t="s">
        <v>721</v>
      </c>
    </row>
    <row r="170">
      <c r="A170" s="32">
        <v>46250.0</v>
      </c>
      <c r="B170" s="34" t="s">
        <v>111</v>
      </c>
      <c r="C170" s="34" t="s">
        <v>1383</v>
      </c>
      <c r="D170" s="167">
        <v>300000.0</v>
      </c>
      <c r="E170" s="329" t="s">
        <v>1384</v>
      </c>
      <c r="F170" s="167">
        <v>210000.0</v>
      </c>
      <c r="G170" s="167">
        <v>0.0</v>
      </c>
      <c r="H170" s="41">
        <v>210000.0</v>
      </c>
      <c r="I170" s="144">
        <f t="shared" ref="I170:I171" si="5">D170</f>
        <v>300000</v>
      </c>
      <c r="J170" s="77" t="s">
        <v>773</v>
      </c>
      <c r="K170" s="555" t="s">
        <v>1387</v>
      </c>
      <c r="L170" s="555" t="s">
        <v>1390</v>
      </c>
      <c r="M170" s="77" t="s">
        <v>773</v>
      </c>
      <c r="N170" s="34" t="s">
        <v>1033</v>
      </c>
      <c r="O170" s="77" t="s">
        <v>773</v>
      </c>
      <c r="P170" s="77" t="s">
        <v>1391</v>
      </c>
      <c r="Q170" s="77" t="s">
        <v>777</v>
      </c>
      <c r="R170" s="77"/>
      <c r="S170" s="77"/>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546"/>
      <c r="AQ170" s="546"/>
      <c r="AR170" s="546"/>
      <c r="AS170" s="546"/>
      <c r="AT170" s="546"/>
      <c r="AU170" s="546"/>
      <c r="AV170" s="546"/>
      <c r="AW170" s="546"/>
    </row>
    <row r="171">
      <c r="A171" s="32">
        <v>46246.0</v>
      </c>
      <c r="B171" s="34" t="s">
        <v>269</v>
      </c>
      <c r="C171" s="34" t="s">
        <v>1392</v>
      </c>
      <c r="D171" s="41">
        <v>300000.0</v>
      </c>
      <c r="E171" s="329" t="s">
        <v>1384</v>
      </c>
      <c r="F171" s="41">
        <v>314000.0</v>
      </c>
      <c r="G171" s="167">
        <v>0.0</v>
      </c>
      <c r="H171" s="41">
        <v>314000.0</v>
      </c>
      <c r="I171" s="144">
        <f t="shared" si="5"/>
        <v>300000</v>
      </c>
      <c r="J171" s="77" t="s">
        <v>773</v>
      </c>
      <c r="K171" s="555" t="s">
        <v>1393</v>
      </c>
      <c r="L171" s="555" t="s">
        <v>1390</v>
      </c>
      <c r="M171" s="77" t="s">
        <v>773</v>
      </c>
      <c r="N171" s="34" t="s">
        <v>1396</v>
      </c>
      <c r="O171" s="77" t="s">
        <v>773</v>
      </c>
      <c r="P171" s="77" t="s">
        <v>1391</v>
      </c>
      <c r="Q171" s="77" t="s">
        <v>777</v>
      </c>
      <c r="R171" s="127"/>
      <c r="S171" s="127"/>
      <c r="T171" s="89"/>
      <c r="U171" s="89"/>
      <c r="V171" s="89"/>
      <c r="W171" s="89"/>
      <c r="X171" s="89"/>
      <c r="Y171" s="89"/>
      <c r="Z171" s="89"/>
      <c r="AA171" s="89"/>
      <c r="AB171" s="89"/>
      <c r="AC171" s="89"/>
      <c r="AD171" s="89"/>
      <c r="AE171" s="89"/>
      <c r="AF171" s="89"/>
      <c r="AG171" s="89"/>
      <c r="AH171" s="89"/>
      <c r="AI171" s="89"/>
      <c r="AJ171" s="89"/>
      <c r="AK171" s="89"/>
      <c r="AL171" s="89"/>
      <c r="AM171" s="89"/>
      <c r="AN171" s="89"/>
      <c r="AO171" s="89"/>
      <c r="AP171" s="89"/>
      <c r="AQ171" s="89"/>
      <c r="AR171" s="89"/>
      <c r="AS171" s="89"/>
      <c r="AT171" s="89"/>
      <c r="AU171" s="89"/>
      <c r="AV171" s="89"/>
      <c r="AW171" s="89"/>
    </row>
    <row r="176">
      <c r="B176" s="360" t="s">
        <v>1398</v>
      </c>
      <c r="C176" s="4"/>
      <c r="D176" s="4"/>
      <c r="E176" s="4"/>
      <c r="F176" s="4"/>
      <c r="G176" s="4"/>
      <c r="H176" s="4"/>
      <c r="I176" s="4"/>
      <c r="J176" s="4"/>
      <c r="K176" s="4"/>
      <c r="L176" s="4"/>
      <c r="M176" s="4"/>
      <c r="N176" s="4"/>
      <c r="O176" s="4"/>
      <c r="P176" s="4"/>
      <c r="Q176" s="4"/>
      <c r="R176" s="4"/>
      <c r="S176" s="6"/>
    </row>
    <row r="177">
      <c r="A177" s="306" t="s">
        <v>10</v>
      </c>
      <c r="B177" s="308" t="s">
        <v>13</v>
      </c>
      <c r="C177" s="311" t="s">
        <v>11</v>
      </c>
      <c r="D177" s="312" t="s">
        <v>693</v>
      </c>
      <c r="E177" s="313" t="s">
        <v>15</v>
      </c>
      <c r="F177" s="308" t="s">
        <v>698</v>
      </c>
      <c r="G177" s="308" t="s">
        <v>700</v>
      </c>
      <c r="H177" s="308" t="s">
        <v>701</v>
      </c>
      <c r="I177" s="308" t="s">
        <v>704</v>
      </c>
      <c r="J177" s="308" t="s">
        <v>706</v>
      </c>
      <c r="K177" s="308" t="s">
        <v>707</v>
      </c>
      <c r="L177" s="308" t="s">
        <v>709</v>
      </c>
      <c r="M177" s="308" t="s">
        <v>710</v>
      </c>
      <c r="N177" s="308" t="s">
        <v>711</v>
      </c>
      <c r="O177" s="308" t="s">
        <v>712</v>
      </c>
      <c r="P177" s="308" t="s">
        <v>714</v>
      </c>
      <c r="Q177" s="308" t="s">
        <v>717</v>
      </c>
      <c r="R177" s="308" t="s">
        <v>719</v>
      </c>
      <c r="S177" s="308" t="s">
        <v>721</v>
      </c>
    </row>
    <row r="178">
      <c r="A178" s="32">
        <v>46254.0</v>
      </c>
      <c r="B178" s="182" t="s">
        <v>1403</v>
      </c>
      <c r="C178" s="85" t="s">
        <v>1404</v>
      </c>
      <c r="D178" s="167">
        <v>200000.0</v>
      </c>
      <c r="E178" s="395" t="s">
        <v>1405</v>
      </c>
      <c r="F178" s="41">
        <v>0.0</v>
      </c>
      <c r="G178" s="41">
        <v>0.0</v>
      </c>
      <c r="H178" s="41">
        <v>0.0</v>
      </c>
      <c r="I178" s="167">
        <v>200000.0</v>
      </c>
      <c r="J178" s="395" t="s">
        <v>1406</v>
      </c>
      <c r="K178" s="395" t="s">
        <v>1410</v>
      </c>
      <c r="L178" s="34" t="s">
        <v>773</v>
      </c>
      <c r="M178" s="34" t="s">
        <v>1185</v>
      </c>
      <c r="N178" s="34" t="s">
        <v>837</v>
      </c>
      <c r="O178" s="34" t="s">
        <v>773</v>
      </c>
      <c r="P178" s="34" t="s">
        <v>1391</v>
      </c>
      <c r="Q178" s="34" t="s">
        <v>777</v>
      </c>
      <c r="R178" s="127"/>
      <c r="S178" s="127"/>
      <c r="T178" s="143"/>
      <c r="U178" s="143"/>
      <c r="V178" s="143"/>
      <c r="W178" s="143"/>
      <c r="X178" s="143"/>
      <c r="Y178" s="143"/>
      <c r="Z178" s="143"/>
      <c r="AA178" s="143"/>
      <c r="AB178" s="143"/>
      <c r="AC178" s="143"/>
      <c r="AD178" s="143"/>
      <c r="AE178" s="143"/>
      <c r="AF178" s="143"/>
      <c r="AG178" s="143"/>
      <c r="AH178" s="143"/>
      <c r="AI178" s="143"/>
      <c r="AJ178" s="143"/>
      <c r="AK178" s="143"/>
      <c r="AL178" s="143"/>
      <c r="AM178" s="143"/>
      <c r="AN178" s="143"/>
      <c r="AO178" s="143"/>
      <c r="AP178" s="143"/>
      <c r="AQ178" s="143"/>
      <c r="AR178" s="143"/>
      <c r="AS178" s="143"/>
      <c r="AT178" s="143"/>
      <c r="AU178" s="143"/>
      <c r="AV178" s="143"/>
      <c r="AW178" s="143"/>
    </row>
    <row r="182">
      <c r="B182" s="360" t="s">
        <v>1413</v>
      </c>
      <c r="C182" s="4"/>
      <c r="D182" s="4"/>
      <c r="E182" s="4"/>
      <c r="F182" s="4"/>
      <c r="G182" s="4"/>
      <c r="H182" s="4"/>
      <c r="I182" s="4"/>
      <c r="J182" s="4"/>
      <c r="K182" s="4"/>
      <c r="L182" s="4"/>
      <c r="M182" s="4"/>
      <c r="N182" s="4"/>
      <c r="O182" s="4"/>
      <c r="P182" s="4"/>
      <c r="Q182" s="4"/>
      <c r="R182" s="4"/>
      <c r="S182" s="6"/>
      <c r="T182" s="569"/>
    </row>
    <row r="183">
      <c r="A183" s="26" t="s">
        <v>10</v>
      </c>
      <c r="B183" s="414" t="s">
        <v>13</v>
      </c>
      <c r="C183" s="416" t="s">
        <v>11</v>
      </c>
      <c r="D183" s="417" t="s">
        <v>693</v>
      </c>
      <c r="E183" s="419" t="s">
        <v>15</v>
      </c>
      <c r="F183" s="414" t="s">
        <v>698</v>
      </c>
      <c r="G183" s="414" t="s">
        <v>700</v>
      </c>
      <c r="H183" s="414" t="s">
        <v>701</v>
      </c>
      <c r="I183" s="414" t="s">
        <v>704</v>
      </c>
      <c r="J183" s="414" t="s">
        <v>706</v>
      </c>
      <c r="K183" s="414" t="s">
        <v>707</v>
      </c>
      <c r="L183" s="414" t="s">
        <v>709</v>
      </c>
      <c r="M183" s="414" t="s">
        <v>710</v>
      </c>
      <c r="N183" s="414" t="s">
        <v>711</v>
      </c>
      <c r="O183" s="414" t="s">
        <v>712</v>
      </c>
      <c r="P183" s="414" t="s">
        <v>714</v>
      </c>
      <c r="Q183" s="414" t="s">
        <v>717</v>
      </c>
      <c r="R183" s="414" t="s">
        <v>719</v>
      </c>
      <c r="S183" s="414" t="s">
        <v>721</v>
      </c>
    </row>
    <row r="184">
      <c r="A184" s="32">
        <v>46254.0</v>
      </c>
      <c r="B184" s="110" t="s">
        <v>532</v>
      </c>
      <c r="C184" s="110" t="s">
        <v>1419</v>
      </c>
      <c r="D184" s="244">
        <v>165000.0</v>
      </c>
      <c r="E184" s="415" t="s">
        <v>1420</v>
      </c>
      <c r="F184" s="244">
        <v>174000.0</v>
      </c>
      <c r="G184" s="244">
        <v>0.0</v>
      </c>
      <c r="H184" s="244">
        <v>0.0</v>
      </c>
      <c r="I184" s="400">
        <f>D184</f>
        <v>165000</v>
      </c>
      <c r="J184" s="415" t="s">
        <v>1423</v>
      </c>
      <c r="K184" s="415" t="s">
        <v>1426</v>
      </c>
      <c r="L184" s="415" t="s">
        <v>1428</v>
      </c>
      <c r="M184" s="110" t="s">
        <v>1015</v>
      </c>
      <c r="N184" s="110" t="s">
        <v>776</v>
      </c>
      <c r="O184" s="110" t="s">
        <v>773</v>
      </c>
      <c r="P184" s="110" t="s">
        <v>1391</v>
      </c>
      <c r="Q184" s="110" t="s">
        <v>777</v>
      </c>
      <c r="R184" s="186"/>
      <c r="S184" s="186"/>
    </row>
    <row r="190">
      <c r="B190" s="360" t="s">
        <v>1432</v>
      </c>
      <c r="C190" s="4"/>
      <c r="D190" s="4"/>
      <c r="E190" s="4"/>
      <c r="F190" s="4"/>
      <c r="G190" s="4"/>
      <c r="H190" s="4"/>
      <c r="I190" s="4"/>
      <c r="J190" s="4"/>
      <c r="K190" s="4"/>
      <c r="L190" s="4"/>
      <c r="M190" s="4"/>
      <c r="N190" s="4"/>
      <c r="O190" s="4"/>
      <c r="P190" s="4"/>
      <c r="Q190" s="4"/>
      <c r="R190" s="4"/>
      <c r="S190" s="6"/>
      <c r="T190" s="569"/>
    </row>
    <row r="191">
      <c r="A191" s="26" t="s">
        <v>10</v>
      </c>
      <c r="B191" s="414" t="s">
        <v>13</v>
      </c>
      <c r="C191" s="416" t="s">
        <v>11</v>
      </c>
      <c r="D191" s="417" t="s">
        <v>693</v>
      </c>
      <c r="E191" s="419" t="s">
        <v>15</v>
      </c>
      <c r="F191" s="414" t="s">
        <v>698</v>
      </c>
      <c r="G191" s="414" t="s">
        <v>700</v>
      </c>
      <c r="H191" s="414" t="s">
        <v>701</v>
      </c>
      <c r="I191" s="414" t="s">
        <v>704</v>
      </c>
      <c r="J191" s="414" t="s">
        <v>706</v>
      </c>
      <c r="K191" s="414" t="s">
        <v>707</v>
      </c>
      <c r="L191" s="414" t="s">
        <v>709</v>
      </c>
      <c r="M191" s="414" t="s">
        <v>710</v>
      </c>
      <c r="N191" s="414" t="s">
        <v>711</v>
      </c>
      <c r="O191" s="414" t="s">
        <v>712</v>
      </c>
      <c r="P191" s="414" t="s">
        <v>714</v>
      </c>
      <c r="Q191" s="414" t="s">
        <v>717</v>
      </c>
      <c r="R191" s="414" t="s">
        <v>719</v>
      </c>
      <c r="S191" s="414" t="s">
        <v>721</v>
      </c>
    </row>
    <row r="192">
      <c r="A192" s="109">
        <v>46253.0</v>
      </c>
      <c r="B192" s="110" t="s">
        <v>253</v>
      </c>
      <c r="C192" s="110" t="s">
        <v>1434</v>
      </c>
      <c r="D192" s="244">
        <v>175000.0</v>
      </c>
      <c r="E192" s="415" t="s">
        <v>1435</v>
      </c>
      <c r="F192" s="244">
        <v>15000.0</v>
      </c>
      <c r="G192" s="244">
        <v>0.0</v>
      </c>
      <c r="H192" s="244">
        <v>0.0</v>
      </c>
      <c r="I192" s="400">
        <f>D192-15000</f>
        <v>160000</v>
      </c>
      <c r="J192" s="110" t="s">
        <v>1015</v>
      </c>
      <c r="K192" s="415" t="s">
        <v>1443</v>
      </c>
      <c r="L192" s="110" t="s">
        <v>773</v>
      </c>
      <c r="M192" s="110" t="s">
        <v>1391</v>
      </c>
      <c r="N192" s="110" t="s">
        <v>1335</v>
      </c>
      <c r="O192" s="110" t="s">
        <v>773</v>
      </c>
      <c r="P192" s="110" t="s">
        <v>1391</v>
      </c>
      <c r="Q192" s="110" t="s">
        <v>1391</v>
      </c>
      <c r="R192" s="186"/>
      <c r="S192" s="186"/>
    </row>
    <row r="199">
      <c r="B199" s="360" t="s">
        <v>1446</v>
      </c>
      <c r="C199" s="4"/>
      <c r="D199" s="4"/>
      <c r="E199" s="4"/>
      <c r="F199" s="4"/>
      <c r="G199" s="4"/>
      <c r="H199" s="4"/>
      <c r="I199" s="4"/>
      <c r="J199" s="4"/>
      <c r="K199" s="4"/>
      <c r="L199" s="4"/>
      <c r="M199" s="4"/>
      <c r="N199" s="4"/>
      <c r="O199" s="4"/>
      <c r="P199" s="4"/>
      <c r="Q199" s="4"/>
      <c r="R199" s="4"/>
      <c r="S199" s="6"/>
      <c r="T199" s="569"/>
    </row>
    <row r="200">
      <c r="A200" s="26" t="s">
        <v>10</v>
      </c>
      <c r="B200" s="414" t="s">
        <v>13</v>
      </c>
      <c r="C200" s="416" t="s">
        <v>11</v>
      </c>
      <c r="D200" s="417" t="s">
        <v>693</v>
      </c>
      <c r="E200" s="419" t="s">
        <v>15</v>
      </c>
      <c r="F200" s="577" t="s">
        <v>1447</v>
      </c>
      <c r="G200" s="414" t="s">
        <v>700</v>
      </c>
      <c r="H200" s="414" t="s">
        <v>701</v>
      </c>
      <c r="I200" s="414" t="s">
        <v>704</v>
      </c>
      <c r="J200" s="414" t="s">
        <v>706</v>
      </c>
      <c r="K200" s="414" t="s">
        <v>707</v>
      </c>
      <c r="L200" s="414" t="s">
        <v>709</v>
      </c>
      <c r="M200" s="414" t="s">
        <v>710</v>
      </c>
      <c r="N200" s="414" t="s">
        <v>711</v>
      </c>
      <c r="O200" s="414" t="s">
        <v>712</v>
      </c>
      <c r="P200" s="414" t="s">
        <v>714</v>
      </c>
      <c r="Q200" s="414" t="s">
        <v>717</v>
      </c>
      <c r="R200" s="414" t="s">
        <v>719</v>
      </c>
      <c r="S200" s="414" t="s">
        <v>721</v>
      </c>
    </row>
    <row r="201">
      <c r="A201" s="32">
        <v>46251.0</v>
      </c>
      <c r="B201" s="34" t="s">
        <v>26</v>
      </c>
      <c r="C201" s="34" t="s">
        <v>1451</v>
      </c>
      <c r="D201" s="41">
        <v>190000.0</v>
      </c>
      <c r="E201" s="395" t="s">
        <v>1452</v>
      </c>
      <c r="F201" s="41">
        <v>0.0</v>
      </c>
      <c r="G201" s="41">
        <v>0.0</v>
      </c>
      <c r="H201" s="41">
        <v>0.0</v>
      </c>
      <c r="I201" s="144">
        <f>D201</f>
        <v>190000</v>
      </c>
      <c r="J201" s="34" t="s">
        <v>880</v>
      </c>
      <c r="K201" s="395" t="s">
        <v>1452</v>
      </c>
      <c r="L201" s="34" t="s">
        <v>880</v>
      </c>
      <c r="M201" s="34" t="s">
        <v>773</v>
      </c>
      <c r="N201" s="34" t="s">
        <v>1457</v>
      </c>
      <c r="O201" s="34" t="s">
        <v>773</v>
      </c>
      <c r="P201" s="34" t="s">
        <v>1391</v>
      </c>
      <c r="Q201" s="34" t="s">
        <v>1391</v>
      </c>
      <c r="R201" s="127"/>
      <c r="S201" s="127"/>
    </row>
  </sheetData>
  <mergeCells count="30">
    <mergeCell ref="C1:F1"/>
    <mergeCell ref="I1:N1"/>
    <mergeCell ref="R1:V1"/>
    <mergeCell ref="Y1:AC1"/>
    <mergeCell ref="AG1:AK1"/>
    <mergeCell ref="V3:V7"/>
    <mergeCell ref="AK6:AK8"/>
    <mergeCell ref="V8:V11"/>
    <mergeCell ref="I11:N11"/>
    <mergeCell ref="Y20:AC20"/>
    <mergeCell ref="L21:Q21"/>
    <mergeCell ref="L32:Q32"/>
    <mergeCell ref="B48:S48"/>
    <mergeCell ref="B58:S58"/>
    <mergeCell ref="B69:S69"/>
    <mergeCell ref="B82:T82"/>
    <mergeCell ref="U84:U85"/>
    <mergeCell ref="B92:T92"/>
    <mergeCell ref="B102:S102"/>
    <mergeCell ref="B115:S115"/>
    <mergeCell ref="B123:S123"/>
    <mergeCell ref="B190:S190"/>
    <mergeCell ref="B199:S199"/>
    <mergeCell ref="B134:S134"/>
    <mergeCell ref="B146:S146"/>
    <mergeCell ref="B152:S152"/>
    <mergeCell ref="B161:S161"/>
    <mergeCell ref="B168:S168"/>
    <mergeCell ref="B176:S176"/>
    <mergeCell ref="B182:S182"/>
  </mergeCells>
  <hyperlinks>
    <hyperlink r:id="rId2" ref="M14"/>
    <hyperlink r:id="rId3" ref="E50"/>
    <hyperlink r:id="rId4" ref="J50"/>
    <hyperlink r:id="rId5" ref="K50"/>
    <hyperlink r:id="rId6" ref="E51"/>
    <hyperlink r:id="rId7" ref="J51"/>
    <hyperlink r:id="rId8" ref="K51"/>
    <hyperlink r:id="rId9" ref="E52"/>
    <hyperlink r:id="rId10" ref="J52"/>
    <hyperlink r:id="rId11" ref="K52"/>
    <hyperlink r:id="rId12" ref="E53"/>
    <hyperlink r:id="rId13" ref="K53"/>
    <hyperlink r:id="rId14" ref="E54"/>
    <hyperlink r:id="rId15" ref="J54"/>
    <hyperlink r:id="rId16" ref="K54"/>
    <hyperlink r:id="rId17" ref="E55"/>
    <hyperlink r:id="rId18" ref="K55"/>
    <hyperlink r:id="rId19" ref="E56"/>
    <hyperlink r:id="rId20" ref="J56"/>
    <hyperlink r:id="rId21" ref="K56"/>
    <hyperlink r:id="rId22" ref="E60"/>
    <hyperlink r:id="rId23" ref="J60"/>
    <hyperlink r:id="rId24" ref="K60"/>
    <hyperlink r:id="rId25" ref="E61"/>
    <hyperlink r:id="rId26" ref="J61"/>
    <hyperlink r:id="rId27" ref="K61"/>
    <hyperlink r:id="rId28" ref="E104"/>
    <hyperlink r:id="rId29" ref="J104"/>
    <hyperlink r:id="rId30" ref="K104"/>
    <hyperlink r:id="rId31" ref="E105"/>
    <hyperlink r:id="rId32" ref="J105"/>
    <hyperlink r:id="rId33" ref="K105"/>
    <hyperlink r:id="rId34" ref="E106"/>
    <hyperlink r:id="rId35" ref="J106"/>
    <hyperlink r:id="rId36" ref="K106"/>
    <hyperlink r:id="rId37" ref="E107"/>
    <hyperlink r:id="rId38" ref="J107"/>
    <hyperlink r:id="rId39" ref="K107"/>
    <hyperlink r:id="rId40" ref="E108"/>
    <hyperlink r:id="rId41" ref="K108"/>
    <hyperlink r:id="rId42" ref="E109"/>
    <hyperlink r:id="rId43" ref="J109"/>
    <hyperlink r:id="rId44" ref="K109"/>
    <hyperlink r:id="rId45" ref="E110"/>
    <hyperlink r:id="rId46" ref="J110"/>
    <hyperlink r:id="rId47" ref="K110"/>
    <hyperlink r:id="rId48" ref="E117"/>
    <hyperlink r:id="rId49" ref="K117"/>
    <hyperlink r:id="rId50" ref="K118"/>
    <hyperlink r:id="rId51" ref="J136"/>
    <hyperlink r:id="rId52" ref="K136"/>
    <hyperlink r:id="rId53" ref="J137"/>
    <hyperlink r:id="rId54" ref="K137"/>
    <hyperlink r:id="rId55" ref="J138"/>
    <hyperlink r:id="rId56" ref="K138"/>
    <hyperlink r:id="rId57" ref="E139"/>
    <hyperlink r:id="rId58" ref="K139"/>
    <hyperlink r:id="rId59" ref="E140"/>
    <hyperlink r:id="rId60" ref="K140"/>
    <hyperlink r:id="rId61" ref="J154"/>
    <hyperlink r:id="rId62" ref="K154"/>
    <hyperlink r:id="rId63" ref="O154"/>
    <hyperlink r:id="rId64" ref="E163"/>
    <hyperlink r:id="rId65" ref="J163"/>
    <hyperlink r:id="rId66" ref="K163"/>
    <hyperlink r:id="rId67" ref="E170"/>
    <hyperlink r:id="rId68" ref="K170"/>
    <hyperlink r:id="rId69" ref="L170"/>
    <hyperlink r:id="rId70" ref="E171"/>
    <hyperlink r:id="rId71" ref="K171"/>
    <hyperlink r:id="rId72" ref="L171"/>
    <hyperlink r:id="rId73" ref="E178"/>
    <hyperlink r:id="rId74" ref="J178"/>
    <hyperlink r:id="rId75" ref="K178"/>
    <hyperlink r:id="rId76" ref="E184"/>
    <hyperlink r:id="rId77" ref="J184"/>
    <hyperlink r:id="rId78" ref="K184"/>
    <hyperlink r:id="rId79" ref="L184"/>
    <hyperlink r:id="rId80" ref="E192"/>
    <hyperlink r:id="rId81" ref="K192"/>
    <hyperlink r:id="rId82" ref="E201"/>
    <hyperlink r:id="rId83" ref="K201"/>
  </hyperlinks>
  <drawing r:id="rId84"/>
  <legacyDrawing r:id="rId8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4" max="4" width="13.13"/>
    <col customWidth="1" min="5" max="5" width="12.0"/>
    <col customWidth="1" min="6" max="6" width="25.5"/>
    <col customWidth="1" min="7" max="7" width="10.38"/>
    <col customWidth="1" min="8" max="8" width="56.0"/>
    <col customWidth="1" min="9" max="9" width="14.75"/>
  </cols>
  <sheetData>
    <row r="1">
      <c r="A1" s="113"/>
      <c r="B1" s="113" t="s">
        <v>141</v>
      </c>
    </row>
    <row r="2">
      <c r="A2" s="116" t="s">
        <v>145</v>
      </c>
      <c r="B2" s="117" t="s">
        <v>153</v>
      </c>
      <c r="C2" s="117" t="s">
        <v>157</v>
      </c>
      <c r="D2" s="117" t="s">
        <v>161</v>
      </c>
      <c r="E2" s="117" t="s">
        <v>163</v>
      </c>
      <c r="F2" s="117" t="s">
        <v>164</v>
      </c>
      <c r="G2" s="120" t="s">
        <v>167</v>
      </c>
      <c r="H2" s="117" t="s">
        <v>175</v>
      </c>
      <c r="I2" s="123" t="s">
        <v>178</v>
      </c>
      <c r="J2" s="125" t="s">
        <v>182</v>
      </c>
    </row>
    <row r="3">
      <c r="A3" s="128" t="s">
        <v>185</v>
      </c>
      <c r="B3" s="130" t="s">
        <v>186</v>
      </c>
      <c r="C3" s="130" t="s">
        <v>190</v>
      </c>
      <c r="D3" s="130" t="s">
        <v>195</v>
      </c>
      <c r="E3" s="130" t="s">
        <v>197</v>
      </c>
      <c r="F3" s="130" t="s">
        <v>200</v>
      </c>
      <c r="G3" s="134" t="s">
        <v>202</v>
      </c>
      <c r="H3" s="130" t="s">
        <v>204</v>
      </c>
      <c r="I3" s="137">
        <v>308000.0</v>
      </c>
      <c r="J3" s="138">
        <v>380000.0</v>
      </c>
    </row>
    <row r="4">
      <c r="A4" s="128" t="s">
        <v>185</v>
      </c>
      <c r="B4" s="130" t="s">
        <v>186</v>
      </c>
      <c r="C4" s="130" t="s">
        <v>217</v>
      </c>
      <c r="D4" s="130" t="s">
        <v>219</v>
      </c>
      <c r="E4" s="130" t="s">
        <v>220</v>
      </c>
      <c r="F4" s="130" t="s">
        <v>221</v>
      </c>
      <c r="G4" s="134" t="s">
        <v>202</v>
      </c>
      <c r="H4" s="130" t="s">
        <v>222</v>
      </c>
      <c r="I4" s="137">
        <v>200000.0</v>
      </c>
      <c r="J4" s="142">
        <v>200000.0</v>
      </c>
    </row>
    <row r="5">
      <c r="A5" s="128" t="s">
        <v>185</v>
      </c>
      <c r="B5" s="130" t="s">
        <v>186</v>
      </c>
      <c r="C5" s="130" t="s">
        <v>226</v>
      </c>
      <c r="D5" s="130" t="s">
        <v>228</v>
      </c>
      <c r="E5" s="130" t="s">
        <v>229</v>
      </c>
      <c r="F5" s="130" t="s">
        <v>231</v>
      </c>
      <c r="G5" s="134" t="s">
        <v>202</v>
      </c>
      <c r="H5" s="130" t="s">
        <v>232</v>
      </c>
      <c r="I5" s="137">
        <v>200000.0</v>
      </c>
      <c r="J5" s="138">
        <v>400000.0</v>
      </c>
    </row>
    <row r="6">
      <c r="A6" s="128" t="s">
        <v>185</v>
      </c>
      <c r="B6" s="130" t="s">
        <v>186</v>
      </c>
      <c r="C6" s="130" t="s">
        <v>234</v>
      </c>
      <c r="D6" s="130" t="s">
        <v>237</v>
      </c>
      <c r="E6" s="130" t="s">
        <v>239</v>
      </c>
      <c r="F6" s="130" t="s">
        <v>240</v>
      </c>
      <c r="G6" s="134" t="s">
        <v>202</v>
      </c>
      <c r="H6" s="130" t="s">
        <v>241</v>
      </c>
      <c r="I6" s="137">
        <v>100000.0</v>
      </c>
      <c r="J6" s="138">
        <v>200000.0</v>
      </c>
    </row>
    <row r="7">
      <c r="A7" s="128" t="s">
        <v>185</v>
      </c>
      <c r="B7" s="130" t="s">
        <v>186</v>
      </c>
      <c r="C7" s="130" t="s">
        <v>242</v>
      </c>
      <c r="D7" s="130" t="s">
        <v>228</v>
      </c>
      <c r="E7" s="130" t="s">
        <v>229</v>
      </c>
      <c r="F7" s="130" t="s">
        <v>244</v>
      </c>
      <c r="G7" s="146" t="s">
        <v>202</v>
      </c>
      <c r="H7" s="130" t="s">
        <v>247</v>
      </c>
      <c r="I7" s="137">
        <v>200000.0</v>
      </c>
      <c r="J7" s="138">
        <v>350000.0</v>
      </c>
    </row>
    <row r="8">
      <c r="A8" s="128" t="s">
        <v>185</v>
      </c>
      <c r="B8" s="130" t="s">
        <v>186</v>
      </c>
      <c r="C8" s="130" t="s">
        <v>248</v>
      </c>
      <c r="D8" s="130" t="s">
        <v>249</v>
      </c>
      <c r="E8" s="130" t="s">
        <v>252</v>
      </c>
      <c r="F8" s="130" t="s">
        <v>255</v>
      </c>
      <c r="G8" s="146" t="s">
        <v>202</v>
      </c>
      <c r="H8" s="130" t="s">
        <v>258</v>
      </c>
      <c r="I8" s="137">
        <v>200000.0</v>
      </c>
      <c r="J8" s="138">
        <v>280000.0</v>
      </c>
    </row>
    <row r="9">
      <c r="A9" s="128" t="s">
        <v>185</v>
      </c>
      <c r="B9" s="130" t="s">
        <v>186</v>
      </c>
      <c r="C9" s="130" t="s">
        <v>261</v>
      </c>
      <c r="D9" s="130" t="s">
        <v>249</v>
      </c>
      <c r="E9" s="130" t="s">
        <v>252</v>
      </c>
      <c r="F9" s="130" t="s">
        <v>263</v>
      </c>
      <c r="G9" s="146" t="s">
        <v>202</v>
      </c>
      <c r="H9" s="130" t="s">
        <v>222</v>
      </c>
      <c r="I9" s="137">
        <v>250000.0</v>
      </c>
      <c r="J9" s="142">
        <v>250000.0</v>
      </c>
    </row>
    <row r="10">
      <c r="A10" s="128" t="s">
        <v>185</v>
      </c>
      <c r="B10" s="130" t="s">
        <v>186</v>
      </c>
      <c r="C10" s="130" t="s">
        <v>267</v>
      </c>
      <c r="D10" s="130" t="s">
        <v>249</v>
      </c>
      <c r="E10" s="130" t="s">
        <v>252</v>
      </c>
      <c r="F10" s="130" t="s">
        <v>270</v>
      </c>
      <c r="G10" s="130" t="s">
        <v>202</v>
      </c>
      <c r="H10" s="130" t="s">
        <v>271</v>
      </c>
      <c r="I10" s="137">
        <v>200000.0</v>
      </c>
      <c r="J10" s="142">
        <v>200000.0</v>
      </c>
    </row>
    <row r="11">
      <c r="A11" s="128" t="s">
        <v>185</v>
      </c>
      <c r="B11" s="130" t="s">
        <v>186</v>
      </c>
      <c r="C11" s="130" t="s">
        <v>275</v>
      </c>
      <c r="D11" s="130" t="s">
        <v>249</v>
      </c>
      <c r="E11" s="130" t="s">
        <v>252</v>
      </c>
      <c r="F11" s="130" t="s">
        <v>276</v>
      </c>
      <c r="G11" s="130" t="s">
        <v>202</v>
      </c>
      <c r="H11" s="130" t="s">
        <v>277</v>
      </c>
      <c r="I11" s="137">
        <v>200000.0</v>
      </c>
      <c r="J11" s="142">
        <v>200000.0</v>
      </c>
    </row>
    <row r="12">
      <c r="A12" s="149" t="s">
        <v>278</v>
      </c>
      <c r="B12" s="130" t="s">
        <v>186</v>
      </c>
      <c r="C12" s="130" t="s">
        <v>281</v>
      </c>
      <c r="D12" s="130" t="s">
        <v>282</v>
      </c>
      <c r="E12" s="130" t="s">
        <v>283</v>
      </c>
      <c r="F12" s="130" t="s">
        <v>284</v>
      </c>
      <c r="G12" s="146" t="s">
        <v>202</v>
      </c>
      <c r="H12" s="130" t="s">
        <v>204</v>
      </c>
      <c r="I12" s="137">
        <v>270000.0</v>
      </c>
      <c r="J12" s="138">
        <v>400000.0</v>
      </c>
    </row>
    <row r="13">
      <c r="A13" s="149" t="s">
        <v>278</v>
      </c>
      <c r="B13" s="130" t="s">
        <v>186</v>
      </c>
      <c r="C13" s="130" t="s">
        <v>290</v>
      </c>
      <c r="D13" s="130" t="s">
        <v>291</v>
      </c>
      <c r="E13" s="130" t="s">
        <v>292</v>
      </c>
      <c r="F13" s="130" t="s">
        <v>293</v>
      </c>
      <c r="G13" s="146" t="s">
        <v>202</v>
      </c>
      <c r="H13" s="130" t="s">
        <v>204</v>
      </c>
      <c r="I13" s="137">
        <v>308000.0</v>
      </c>
      <c r="J13" s="138">
        <v>400000.0</v>
      </c>
    </row>
    <row r="14">
      <c r="A14" s="149" t="s">
        <v>278</v>
      </c>
      <c r="B14" s="130" t="s">
        <v>186</v>
      </c>
      <c r="C14" s="130" t="s">
        <v>295</v>
      </c>
      <c r="D14" s="130" t="s">
        <v>296</v>
      </c>
      <c r="E14" s="130" t="s">
        <v>297</v>
      </c>
      <c r="F14" s="130" t="s">
        <v>299</v>
      </c>
      <c r="G14" s="146" t="s">
        <v>202</v>
      </c>
      <c r="H14" s="130" t="s">
        <v>204</v>
      </c>
      <c r="I14" s="137">
        <v>250000.0</v>
      </c>
      <c r="J14" s="138">
        <v>400000.0</v>
      </c>
    </row>
    <row r="15">
      <c r="A15" s="149" t="s">
        <v>278</v>
      </c>
      <c r="B15" s="130" t="s">
        <v>186</v>
      </c>
      <c r="C15" s="130" t="s">
        <v>301</v>
      </c>
      <c r="D15" s="130" t="s">
        <v>302</v>
      </c>
      <c r="E15" s="130" t="s">
        <v>303</v>
      </c>
      <c r="F15" s="130" t="s">
        <v>304</v>
      </c>
      <c r="G15" s="146" t="s">
        <v>202</v>
      </c>
      <c r="H15" s="130" t="s">
        <v>204</v>
      </c>
      <c r="I15" s="137">
        <v>250000.0</v>
      </c>
      <c r="J15" s="138">
        <v>400000.0</v>
      </c>
    </row>
    <row r="16">
      <c r="A16" s="149" t="s">
        <v>278</v>
      </c>
      <c r="B16" s="130" t="s">
        <v>186</v>
      </c>
      <c r="C16" s="130" t="s">
        <v>309</v>
      </c>
      <c r="D16" s="130" t="s">
        <v>310</v>
      </c>
      <c r="E16" s="130" t="s">
        <v>311</v>
      </c>
      <c r="F16" s="130" t="s">
        <v>312</v>
      </c>
      <c r="G16" s="146" t="s">
        <v>202</v>
      </c>
      <c r="H16" s="130" t="s">
        <v>204</v>
      </c>
      <c r="I16" s="137">
        <v>280000.0</v>
      </c>
      <c r="J16" s="138">
        <v>400000.0</v>
      </c>
    </row>
    <row r="17">
      <c r="A17" s="149" t="s">
        <v>278</v>
      </c>
      <c r="B17" s="130" t="s">
        <v>186</v>
      </c>
      <c r="C17" s="130" t="s">
        <v>313</v>
      </c>
      <c r="D17" s="130" t="s">
        <v>314</v>
      </c>
      <c r="E17" s="130" t="s">
        <v>315</v>
      </c>
      <c r="F17" s="130" t="s">
        <v>316</v>
      </c>
      <c r="G17" s="146" t="s">
        <v>202</v>
      </c>
      <c r="H17" s="130" t="s">
        <v>317</v>
      </c>
      <c r="I17" s="137">
        <v>300000.0</v>
      </c>
      <c r="J17" s="138">
        <v>900000.0</v>
      </c>
    </row>
    <row r="18">
      <c r="A18" s="149" t="s">
        <v>278</v>
      </c>
      <c r="B18" s="130" t="s">
        <v>186</v>
      </c>
      <c r="C18" s="130" t="s">
        <v>318</v>
      </c>
      <c r="D18" s="130" t="s">
        <v>319</v>
      </c>
      <c r="E18" s="130" t="s">
        <v>320</v>
      </c>
      <c r="F18" s="130" t="s">
        <v>322</v>
      </c>
      <c r="G18" s="130" t="s">
        <v>202</v>
      </c>
      <c r="H18" s="130" t="s">
        <v>232</v>
      </c>
      <c r="I18" s="137">
        <v>40000.0</v>
      </c>
      <c r="J18" s="138">
        <v>350000.0</v>
      </c>
    </row>
    <row r="19">
      <c r="A19" s="149" t="s">
        <v>278</v>
      </c>
      <c r="B19" s="130" t="s">
        <v>186</v>
      </c>
      <c r="C19" s="130" t="s">
        <v>326</v>
      </c>
      <c r="D19" s="130" t="s">
        <v>328</v>
      </c>
      <c r="E19" s="130" t="s">
        <v>330</v>
      </c>
      <c r="F19" s="130" t="s">
        <v>331</v>
      </c>
      <c r="G19" s="130" t="s">
        <v>202</v>
      </c>
      <c r="H19" s="130" t="s">
        <v>204</v>
      </c>
      <c r="I19" s="137">
        <v>308000.0</v>
      </c>
      <c r="J19" s="142">
        <v>308000.0</v>
      </c>
    </row>
    <row r="20">
      <c r="A20" s="166" t="s">
        <v>278</v>
      </c>
      <c r="B20" s="130" t="s">
        <v>186</v>
      </c>
      <c r="C20" s="130" t="s">
        <v>335</v>
      </c>
      <c r="D20" s="130" t="s">
        <v>336</v>
      </c>
      <c r="E20" s="130" t="s">
        <v>337</v>
      </c>
      <c r="F20" s="130" t="s">
        <v>339</v>
      </c>
      <c r="G20" s="130" t="s">
        <v>202</v>
      </c>
      <c r="H20" s="130" t="s">
        <v>232</v>
      </c>
      <c r="I20" s="137">
        <v>200000.0</v>
      </c>
      <c r="J20" s="142">
        <v>200000.0</v>
      </c>
    </row>
    <row r="21">
      <c r="A21" s="166" t="s">
        <v>278</v>
      </c>
      <c r="B21" s="130" t="s">
        <v>186</v>
      </c>
      <c r="C21" s="130" t="s">
        <v>343</v>
      </c>
      <c r="D21" s="130" t="s">
        <v>344</v>
      </c>
      <c r="E21" s="130" t="s">
        <v>346</v>
      </c>
      <c r="F21" s="130" t="s">
        <v>347</v>
      </c>
      <c r="G21" s="130" t="s">
        <v>202</v>
      </c>
      <c r="H21" s="130" t="s">
        <v>317</v>
      </c>
      <c r="I21" s="137">
        <v>309000.0</v>
      </c>
      <c r="J21" s="142">
        <v>309000.0</v>
      </c>
    </row>
    <row r="22">
      <c r="A22" s="166" t="s">
        <v>278</v>
      </c>
      <c r="B22" s="130" t="s">
        <v>186</v>
      </c>
      <c r="C22" s="130" t="s">
        <v>349</v>
      </c>
      <c r="D22" s="130" t="s">
        <v>350</v>
      </c>
      <c r="E22" s="130" t="s">
        <v>351</v>
      </c>
      <c r="F22" s="130" t="s">
        <v>352</v>
      </c>
      <c r="G22" s="130" t="s">
        <v>202</v>
      </c>
      <c r="H22" s="130" t="s">
        <v>353</v>
      </c>
      <c r="I22" s="137">
        <v>360000.0</v>
      </c>
      <c r="J22" s="138">
        <v>400000.0</v>
      </c>
    </row>
    <row r="23">
      <c r="A23" s="166" t="s">
        <v>278</v>
      </c>
      <c r="B23" s="130" t="s">
        <v>186</v>
      </c>
      <c r="C23" s="130" t="s">
        <v>356</v>
      </c>
      <c r="D23" s="130" t="s">
        <v>359</v>
      </c>
      <c r="E23" s="130" t="s">
        <v>362</v>
      </c>
      <c r="F23" s="130" t="s">
        <v>363</v>
      </c>
      <c r="G23" s="130" t="s">
        <v>202</v>
      </c>
      <c r="H23" s="130" t="s">
        <v>204</v>
      </c>
      <c r="I23" s="137">
        <v>200000.0</v>
      </c>
      <c r="J23" s="138">
        <v>400000.0</v>
      </c>
    </row>
    <row r="24">
      <c r="A24" s="166" t="s">
        <v>278</v>
      </c>
      <c r="B24" s="130" t="s">
        <v>186</v>
      </c>
      <c r="C24" s="130" t="s">
        <v>367</v>
      </c>
      <c r="D24" s="130" t="s">
        <v>249</v>
      </c>
      <c r="E24" s="130" t="s">
        <v>252</v>
      </c>
      <c r="F24" s="130" t="s">
        <v>369</v>
      </c>
      <c r="G24" s="130" t="s">
        <v>202</v>
      </c>
      <c r="H24" s="130" t="s">
        <v>371</v>
      </c>
      <c r="I24" s="137">
        <v>200000.0</v>
      </c>
      <c r="J24" s="138">
        <v>400000.0</v>
      </c>
    </row>
    <row r="25">
      <c r="A25" s="166" t="s">
        <v>278</v>
      </c>
      <c r="B25" s="130" t="s">
        <v>186</v>
      </c>
      <c r="C25" s="130" t="s">
        <v>373</v>
      </c>
      <c r="D25" s="130" t="s">
        <v>249</v>
      </c>
      <c r="E25" s="130" t="s">
        <v>252</v>
      </c>
      <c r="F25" s="130" t="s">
        <v>374</v>
      </c>
      <c r="G25" s="130" t="s">
        <v>202</v>
      </c>
      <c r="H25" s="130" t="s">
        <v>375</v>
      </c>
      <c r="I25" s="137">
        <v>100000.0</v>
      </c>
      <c r="J25" s="138">
        <v>180000.0</v>
      </c>
    </row>
    <row r="26">
      <c r="A26" s="166" t="s">
        <v>278</v>
      </c>
      <c r="B26" s="130" t="s">
        <v>186</v>
      </c>
      <c r="C26" s="130" t="s">
        <v>378</v>
      </c>
      <c r="D26" s="130" t="s">
        <v>380</v>
      </c>
      <c r="E26" s="130" t="s">
        <v>381</v>
      </c>
      <c r="F26" s="130" t="s">
        <v>382</v>
      </c>
      <c r="G26" s="130" t="s">
        <v>202</v>
      </c>
      <c r="H26" s="130" t="s">
        <v>204</v>
      </c>
      <c r="I26" s="137">
        <v>308000.0</v>
      </c>
      <c r="J26" s="138">
        <v>400000.0</v>
      </c>
    </row>
    <row r="27">
      <c r="A27" s="166" t="s">
        <v>278</v>
      </c>
      <c r="B27" s="130" t="s">
        <v>186</v>
      </c>
      <c r="C27" s="130" t="s">
        <v>388</v>
      </c>
      <c r="D27" s="130" t="s">
        <v>389</v>
      </c>
      <c r="E27" s="130" t="s">
        <v>391</v>
      </c>
      <c r="F27" s="130" t="s">
        <v>392</v>
      </c>
      <c r="G27" s="130" t="s">
        <v>202</v>
      </c>
      <c r="H27" s="130" t="s">
        <v>393</v>
      </c>
      <c r="I27" s="137">
        <v>100000.0</v>
      </c>
      <c r="J27" s="142">
        <v>100000.0</v>
      </c>
    </row>
    <row r="28">
      <c r="A28" s="166" t="s">
        <v>278</v>
      </c>
      <c r="B28" s="130" t="s">
        <v>186</v>
      </c>
      <c r="C28" s="130" t="s">
        <v>388</v>
      </c>
      <c r="D28" s="130" t="s">
        <v>389</v>
      </c>
      <c r="E28" s="130" t="s">
        <v>391</v>
      </c>
      <c r="F28" s="130" t="s">
        <v>392</v>
      </c>
      <c r="G28" s="130" t="s">
        <v>202</v>
      </c>
      <c r="H28" s="130" t="s">
        <v>277</v>
      </c>
      <c r="I28" s="137">
        <v>100000.0</v>
      </c>
      <c r="J28" s="142">
        <v>100000.0</v>
      </c>
    </row>
    <row r="29">
      <c r="A29" s="166" t="s">
        <v>278</v>
      </c>
      <c r="B29" s="130" t="s">
        <v>186</v>
      </c>
      <c r="C29" s="130" t="s">
        <v>397</v>
      </c>
      <c r="D29" s="130" t="s">
        <v>319</v>
      </c>
      <c r="E29" s="130" t="s">
        <v>320</v>
      </c>
      <c r="F29" s="130" t="s">
        <v>398</v>
      </c>
      <c r="G29" s="130" t="s">
        <v>202</v>
      </c>
      <c r="H29" s="130" t="s">
        <v>204</v>
      </c>
      <c r="I29" s="137">
        <v>367675.0</v>
      </c>
      <c r="J29" s="138">
        <v>400000.0</v>
      </c>
    </row>
    <row r="30">
      <c r="A30" s="166" t="s">
        <v>278</v>
      </c>
      <c r="B30" s="130" t="s">
        <v>186</v>
      </c>
      <c r="C30" s="130" t="s">
        <v>402</v>
      </c>
      <c r="D30" s="130" t="s">
        <v>403</v>
      </c>
      <c r="E30" s="130" t="s">
        <v>404</v>
      </c>
      <c r="F30" s="130" t="s">
        <v>405</v>
      </c>
      <c r="G30" s="130" t="s">
        <v>202</v>
      </c>
      <c r="H30" s="130" t="s">
        <v>204</v>
      </c>
      <c r="I30" s="137">
        <v>368000.0</v>
      </c>
      <c r="J30" s="138">
        <v>400000.0</v>
      </c>
    </row>
    <row r="31">
      <c r="A31" s="181"/>
      <c r="B31" s="181"/>
      <c r="C31" s="181"/>
      <c r="D31" s="183"/>
      <c r="E31" s="183"/>
      <c r="F31" s="181"/>
      <c r="G31" s="181"/>
      <c r="H31" s="181"/>
      <c r="I31" s="184"/>
      <c r="J31" s="184"/>
    </row>
    <row r="32">
      <c r="A32" s="181"/>
      <c r="B32" s="181"/>
      <c r="C32" s="181"/>
      <c r="D32" s="183">
        <f>19+9</f>
        <v>28</v>
      </c>
      <c r="E32" s="183"/>
      <c r="F32" s="181"/>
      <c r="G32" s="181"/>
      <c r="H32" s="181"/>
      <c r="I32" s="181"/>
      <c r="J32" s="181"/>
    </row>
    <row r="33">
      <c r="A33" s="181"/>
      <c r="B33" s="181"/>
      <c r="C33" s="181"/>
      <c r="D33" s="183"/>
      <c r="E33" s="183"/>
      <c r="F33" s="181"/>
      <c r="G33" s="181"/>
      <c r="H33" s="181"/>
      <c r="I33" s="181"/>
      <c r="J33" s="181"/>
    </row>
    <row r="34">
      <c r="A34" s="181"/>
      <c r="B34" s="181"/>
      <c r="C34" s="181"/>
      <c r="D34" s="183"/>
      <c r="E34" s="183"/>
      <c r="F34" s="181"/>
      <c r="G34" s="181"/>
      <c r="H34" s="181"/>
      <c r="I34" s="181"/>
      <c r="J34" s="181"/>
    </row>
    <row r="35">
      <c r="A35" s="181"/>
      <c r="B35" s="181"/>
      <c r="C35" s="181"/>
      <c r="D35" s="183"/>
      <c r="E35" s="183"/>
      <c r="F35" s="181"/>
      <c r="G35" s="181"/>
      <c r="H35" s="181"/>
      <c r="I35" s="181"/>
      <c r="J35" s="181"/>
    </row>
    <row r="36">
      <c r="A36" s="181"/>
      <c r="B36" s="181"/>
      <c r="C36" s="181"/>
      <c r="D36" s="183"/>
      <c r="E36" s="183"/>
      <c r="F36" s="181"/>
      <c r="G36" s="181"/>
      <c r="H36" s="190" t="s">
        <v>421</v>
      </c>
      <c r="I36" s="191">
        <f t="shared" ref="I36:J36" si="1">SUM(I3:I30)</f>
        <v>6476675</v>
      </c>
      <c r="J36" s="194">
        <f t="shared" si="1"/>
        <v>9307000</v>
      </c>
    </row>
    <row r="37">
      <c r="A37" s="181"/>
      <c r="B37" s="181"/>
      <c r="C37" s="181"/>
      <c r="D37" s="183"/>
      <c r="E37" s="183"/>
      <c r="F37" s="181"/>
      <c r="G37" s="181"/>
      <c r="H37" s="190" t="s">
        <v>435</v>
      </c>
      <c r="I37" s="191">
        <f>J36-I36</f>
        <v>2830325</v>
      </c>
      <c r="J37" s="181"/>
    </row>
    <row r="38">
      <c r="A38" s="181"/>
      <c r="B38" s="181"/>
      <c r="C38" s="181"/>
      <c r="D38" s="183"/>
      <c r="E38" s="183"/>
      <c r="F38" s="181"/>
      <c r="G38" s="181"/>
      <c r="H38" s="181"/>
      <c r="I38" s="181"/>
      <c r="J38" s="181"/>
    </row>
    <row r="39">
      <c r="A39" s="181"/>
      <c r="B39" s="181"/>
      <c r="C39" s="181"/>
      <c r="D39" s="183"/>
      <c r="E39" s="183"/>
      <c r="F39" s="181"/>
      <c r="G39" s="181"/>
      <c r="H39" s="181"/>
      <c r="I39" s="181"/>
      <c r="J39" s="181"/>
    </row>
    <row r="40">
      <c r="A40" s="181"/>
      <c r="B40" s="181"/>
      <c r="C40" s="181"/>
      <c r="D40" s="183"/>
      <c r="E40" s="183"/>
      <c r="F40" s="181"/>
      <c r="G40" s="181"/>
      <c r="H40" s="181"/>
      <c r="I40" s="181"/>
      <c r="J40" s="181"/>
    </row>
    <row r="41">
      <c r="A41" s="201" t="s">
        <v>153</v>
      </c>
      <c r="B41" s="201" t="s">
        <v>439</v>
      </c>
      <c r="C41" s="201" t="s">
        <v>157</v>
      </c>
      <c r="D41" s="201" t="s">
        <v>163</v>
      </c>
      <c r="E41" s="201" t="s">
        <v>440</v>
      </c>
      <c r="F41" s="201" t="s">
        <v>164</v>
      </c>
      <c r="G41" s="201" t="s">
        <v>167</v>
      </c>
      <c r="H41" s="201" t="s">
        <v>441</v>
      </c>
      <c r="I41" s="206" t="s">
        <v>442</v>
      </c>
      <c r="J41" s="208" t="s">
        <v>182</v>
      </c>
    </row>
    <row r="42">
      <c r="A42" s="209" t="s">
        <v>446</v>
      </c>
      <c r="B42" s="130" t="s">
        <v>449</v>
      </c>
      <c r="C42" s="130" t="s">
        <v>450</v>
      </c>
      <c r="D42" s="210" t="s">
        <v>452</v>
      </c>
      <c r="E42" s="210" t="s">
        <v>453</v>
      </c>
      <c r="F42" s="211">
        <v>46057.5625</v>
      </c>
      <c r="G42" s="210" t="s">
        <v>202</v>
      </c>
      <c r="H42" s="210" t="s">
        <v>204</v>
      </c>
      <c r="I42" s="213">
        <v>368000.0</v>
      </c>
      <c r="J42" s="215">
        <v>400000.0</v>
      </c>
    </row>
    <row r="43">
      <c r="A43" s="209" t="s">
        <v>446</v>
      </c>
      <c r="B43" s="130" t="s">
        <v>449</v>
      </c>
      <c r="C43" s="130" t="s">
        <v>463</v>
      </c>
      <c r="D43" s="210" t="s">
        <v>466</v>
      </c>
      <c r="E43" s="210" t="s">
        <v>453</v>
      </c>
      <c r="F43" s="211">
        <v>46061.5625</v>
      </c>
      <c r="G43" s="210" t="s">
        <v>202</v>
      </c>
      <c r="H43" s="210" t="s">
        <v>468</v>
      </c>
      <c r="I43" s="213">
        <v>245000.0</v>
      </c>
      <c r="J43" s="215">
        <v>380000.0</v>
      </c>
    </row>
    <row r="44">
      <c r="A44" s="209" t="s">
        <v>446</v>
      </c>
      <c r="B44" s="130" t="s">
        <v>449</v>
      </c>
      <c r="C44" s="130" t="s">
        <v>469</v>
      </c>
      <c r="D44" s="210" t="s">
        <v>470</v>
      </c>
      <c r="E44" s="210" t="s">
        <v>453</v>
      </c>
      <c r="F44" s="211">
        <v>46058.5625</v>
      </c>
      <c r="G44" s="210" t="s">
        <v>202</v>
      </c>
      <c r="H44" s="210" t="s">
        <v>204</v>
      </c>
      <c r="I44" s="213">
        <v>300000.0</v>
      </c>
      <c r="J44" s="215">
        <v>400000.0</v>
      </c>
    </row>
    <row r="45">
      <c r="A45" s="209" t="s">
        <v>446</v>
      </c>
      <c r="B45" s="130" t="s">
        <v>449</v>
      </c>
      <c r="C45" s="130" t="s">
        <v>474</v>
      </c>
      <c r="D45" s="130" t="s">
        <v>475</v>
      </c>
      <c r="E45" s="130" t="s">
        <v>453</v>
      </c>
      <c r="F45" s="222">
        <v>46064.541666666664</v>
      </c>
      <c r="G45" s="130" t="s">
        <v>202</v>
      </c>
      <c r="H45" s="130" t="s">
        <v>481</v>
      </c>
      <c r="I45" s="213">
        <v>110000.0</v>
      </c>
      <c r="J45" s="215">
        <v>110000.0</v>
      </c>
    </row>
    <row r="46">
      <c r="A46" s="209" t="s">
        <v>446</v>
      </c>
      <c r="B46" s="50" t="s">
        <v>449</v>
      </c>
      <c r="C46" s="50" t="s">
        <v>483</v>
      </c>
      <c r="D46" s="223" t="s">
        <v>484</v>
      </c>
      <c r="E46" s="210" t="s">
        <v>453</v>
      </c>
      <c r="F46" s="224">
        <v>46073.5625</v>
      </c>
      <c r="G46" s="210" t="s">
        <v>202</v>
      </c>
      <c r="H46" s="225" t="s">
        <v>204</v>
      </c>
      <c r="I46" s="226">
        <v>200000.0</v>
      </c>
      <c r="J46" s="226">
        <v>400000.0</v>
      </c>
    </row>
    <row r="47">
      <c r="A47" s="209" t="s">
        <v>446</v>
      </c>
      <c r="B47" s="50" t="s">
        <v>449</v>
      </c>
      <c r="C47" s="50" t="s">
        <v>490</v>
      </c>
      <c r="D47" s="227" t="s">
        <v>492</v>
      </c>
      <c r="E47" s="130" t="s">
        <v>453</v>
      </c>
      <c r="F47" s="230">
        <v>46068.555555555555</v>
      </c>
      <c r="G47" s="50" t="s">
        <v>202</v>
      </c>
      <c r="H47" s="50" t="s">
        <v>500</v>
      </c>
      <c r="I47" s="226">
        <v>230000.0</v>
      </c>
      <c r="J47" s="226">
        <v>230000.0</v>
      </c>
    </row>
    <row r="48">
      <c r="A48" s="209" t="s">
        <v>446</v>
      </c>
      <c r="B48" s="50" t="s">
        <v>449</v>
      </c>
      <c r="C48" s="50" t="s">
        <v>502</v>
      </c>
      <c r="D48" s="227" t="s">
        <v>503</v>
      </c>
      <c r="E48" s="130" t="s">
        <v>453</v>
      </c>
      <c r="F48" s="230">
        <v>46070.541666666664</v>
      </c>
      <c r="G48" s="50" t="s">
        <v>202</v>
      </c>
      <c r="H48" s="50" t="s">
        <v>500</v>
      </c>
      <c r="I48" s="226">
        <v>220000.0</v>
      </c>
      <c r="J48" s="226">
        <v>230000.0</v>
      </c>
    </row>
    <row r="49">
      <c r="A49" s="209" t="s">
        <v>446</v>
      </c>
      <c r="B49" s="50" t="s">
        <v>449</v>
      </c>
      <c r="C49" s="50" t="s">
        <v>502</v>
      </c>
      <c r="D49" s="227" t="s">
        <v>503</v>
      </c>
      <c r="E49" s="130" t="s">
        <v>453</v>
      </c>
      <c r="F49" s="230">
        <v>46070.541666666664</v>
      </c>
      <c r="G49" s="50" t="s">
        <v>202</v>
      </c>
      <c r="H49" s="227" t="s">
        <v>507</v>
      </c>
      <c r="I49" s="226">
        <v>150000.0</v>
      </c>
      <c r="J49" s="226">
        <v>400000.0</v>
      </c>
    </row>
    <row r="50">
      <c r="A50" s="209" t="s">
        <v>446</v>
      </c>
      <c r="B50" s="50" t="s">
        <v>449</v>
      </c>
      <c r="C50" s="50" t="s">
        <v>509</v>
      </c>
      <c r="D50" s="227" t="s">
        <v>510</v>
      </c>
      <c r="E50" s="130" t="s">
        <v>453</v>
      </c>
      <c r="F50" s="230">
        <v>46074.625</v>
      </c>
      <c r="G50" s="50" t="s">
        <v>202</v>
      </c>
      <c r="H50" s="50" t="s">
        <v>371</v>
      </c>
      <c r="I50" s="226">
        <v>300000.0</v>
      </c>
      <c r="J50" s="226">
        <v>390000.0</v>
      </c>
    </row>
    <row r="51">
      <c r="A51" s="181"/>
      <c r="B51" s="181"/>
      <c r="C51" s="181"/>
      <c r="D51" s="183"/>
      <c r="E51" s="183"/>
      <c r="F51" s="181"/>
      <c r="G51" s="181"/>
      <c r="H51" s="181"/>
      <c r="I51" s="181"/>
      <c r="J51" s="181"/>
    </row>
    <row r="52">
      <c r="A52" s="181"/>
      <c r="B52" s="181"/>
      <c r="C52" s="181"/>
      <c r="D52" s="183"/>
      <c r="E52" s="183"/>
      <c r="F52" s="181"/>
      <c r="G52" s="181"/>
      <c r="H52" s="181"/>
      <c r="I52" s="181"/>
      <c r="J52" s="181"/>
    </row>
    <row r="53">
      <c r="A53" s="181"/>
      <c r="B53" s="181"/>
      <c r="C53" s="181"/>
      <c r="D53" s="183"/>
      <c r="E53" s="183"/>
      <c r="F53" s="181"/>
      <c r="G53" s="181"/>
      <c r="H53" s="181"/>
      <c r="I53" s="181"/>
      <c r="J53" s="181"/>
    </row>
    <row r="54">
      <c r="A54" s="181"/>
      <c r="B54" s="181"/>
      <c r="C54" s="181"/>
      <c r="D54" s="183"/>
      <c r="E54" s="183"/>
      <c r="F54" s="181"/>
      <c r="G54" s="181"/>
      <c r="H54" s="181"/>
      <c r="I54" s="181"/>
      <c r="J54" s="181"/>
    </row>
    <row r="55">
      <c r="A55" s="181"/>
      <c r="B55" s="181"/>
      <c r="C55" s="181"/>
      <c r="D55" s="183"/>
      <c r="E55" s="183"/>
      <c r="F55" s="181"/>
      <c r="G55" s="181"/>
      <c r="H55" s="181"/>
      <c r="I55" s="181"/>
      <c r="J55" s="181"/>
    </row>
    <row r="56">
      <c r="A56" s="181"/>
      <c r="B56" s="181"/>
      <c r="C56" s="181"/>
      <c r="D56" s="183"/>
      <c r="E56" s="183"/>
      <c r="F56" s="181"/>
      <c r="G56" s="181"/>
      <c r="H56" s="181"/>
      <c r="I56" s="181"/>
      <c r="J56" s="181"/>
    </row>
    <row r="57">
      <c r="A57" s="181"/>
      <c r="B57" s="181"/>
      <c r="C57" s="181"/>
      <c r="D57" s="183"/>
      <c r="E57" s="183"/>
      <c r="F57" s="181"/>
      <c r="G57" s="181"/>
      <c r="H57" s="181"/>
      <c r="I57" s="181"/>
      <c r="J57" s="181"/>
    </row>
    <row r="58">
      <c r="A58" s="181"/>
      <c r="B58" s="181"/>
      <c r="C58" s="181"/>
      <c r="D58" s="183"/>
      <c r="E58" s="183"/>
      <c r="F58" s="181"/>
      <c r="G58" s="181"/>
      <c r="H58" s="181"/>
      <c r="I58" s="181"/>
      <c r="J58" s="181"/>
    </row>
    <row r="59">
      <c r="A59" s="181"/>
      <c r="B59" s="181"/>
      <c r="C59" s="181"/>
      <c r="D59" s="183"/>
      <c r="E59" s="183"/>
      <c r="F59" s="181"/>
      <c r="G59" s="181"/>
      <c r="H59" s="181"/>
      <c r="I59" s="181"/>
      <c r="J59" s="181"/>
    </row>
    <row r="60">
      <c r="A60" s="181"/>
      <c r="B60" s="181"/>
      <c r="C60" s="181"/>
      <c r="D60" s="183"/>
      <c r="E60" s="183"/>
      <c r="F60" s="181"/>
      <c r="G60" s="181"/>
      <c r="H60" s="181"/>
      <c r="I60" s="181"/>
      <c r="J60" s="181"/>
    </row>
    <row r="61">
      <c r="A61" s="181"/>
      <c r="B61" s="181"/>
      <c r="C61" s="181"/>
      <c r="D61" s="183"/>
      <c r="E61" s="183"/>
      <c r="F61" s="181"/>
      <c r="G61" s="181"/>
      <c r="H61" s="190" t="s">
        <v>421</v>
      </c>
      <c r="I61" s="191">
        <f t="shared" ref="I61:J61" si="2">SUM(I42:I50)</f>
        <v>2123000</v>
      </c>
      <c r="J61" s="194">
        <f t="shared" si="2"/>
        <v>2940000</v>
      </c>
    </row>
    <row r="62">
      <c r="A62" s="181"/>
      <c r="B62" s="181"/>
      <c r="C62" s="181"/>
      <c r="D62" s="183"/>
      <c r="E62" s="183"/>
      <c r="F62" s="181"/>
      <c r="G62" s="181"/>
      <c r="H62" s="190" t="s">
        <v>435</v>
      </c>
      <c r="I62" s="191">
        <f>J61-I61</f>
        <v>817000</v>
      </c>
      <c r="J62" s="181"/>
    </row>
    <row r="63">
      <c r="A63" s="181"/>
      <c r="B63" s="181"/>
      <c r="C63" s="181"/>
      <c r="D63" s="183"/>
      <c r="E63" s="183"/>
      <c r="F63" s="181"/>
      <c r="G63" s="181"/>
      <c r="H63" s="181"/>
      <c r="I63" s="181"/>
      <c r="J63" s="181"/>
    </row>
    <row r="64">
      <c r="A64" s="181"/>
      <c r="B64" s="181"/>
      <c r="C64" s="181"/>
      <c r="D64" s="183"/>
      <c r="E64" s="183"/>
      <c r="F64" s="181"/>
      <c r="G64" s="181"/>
      <c r="H64" s="181"/>
      <c r="I64" s="184">
        <f>I36+I61</f>
        <v>8599675</v>
      </c>
      <c r="J64" s="181"/>
    </row>
    <row r="65">
      <c r="A65" s="181"/>
      <c r="B65" s="181"/>
      <c r="C65" s="181"/>
      <c r="D65" s="183"/>
      <c r="E65" s="183"/>
      <c r="F65" s="181"/>
      <c r="G65" s="181"/>
      <c r="H65" s="181"/>
      <c r="I65" s="181"/>
      <c r="J65" s="181"/>
    </row>
    <row r="66">
      <c r="A66" s="181"/>
      <c r="B66" s="181"/>
      <c r="C66" s="181"/>
      <c r="D66" s="183"/>
      <c r="E66" s="183"/>
      <c r="F66" s="181"/>
      <c r="G66" s="181"/>
      <c r="H66" s="181"/>
      <c r="I66" s="181"/>
      <c r="J66" s="181"/>
    </row>
    <row r="67">
      <c r="A67" s="181"/>
      <c r="B67" s="181"/>
      <c r="C67" s="181"/>
      <c r="D67" s="183"/>
      <c r="E67" s="183"/>
      <c r="F67" s="181"/>
      <c r="G67" s="181"/>
      <c r="H67" s="181"/>
      <c r="I67" s="181"/>
      <c r="J67" s="181"/>
    </row>
    <row r="68">
      <c r="A68" s="117" t="s">
        <v>153</v>
      </c>
      <c r="B68" s="117" t="s">
        <v>439</v>
      </c>
      <c r="C68" s="117" t="s">
        <v>157</v>
      </c>
      <c r="D68" s="117" t="s">
        <v>163</v>
      </c>
      <c r="E68" s="117" t="s">
        <v>440</v>
      </c>
      <c r="F68" s="117" t="s">
        <v>164</v>
      </c>
      <c r="G68" s="117" t="s">
        <v>167</v>
      </c>
      <c r="H68" s="117" t="s">
        <v>441</v>
      </c>
      <c r="I68" s="117" t="s">
        <v>442</v>
      </c>
      <c r="J68" s="125" t="s">
        <v>182</v>
      </c>
    </row>
    <row r="69">
      <c r="A69" s="56">
        <v>9.01814243E8</v>
      </c>
      <c r="B69" s="56" t="s">
        <v>449</v>
      </c>
      <c r="C69" s="56" t="s">
        <v>585</v>
      </c>
      <c r="D69" s="264" t="s">
        <v>586</v>
      </c>
      <c r="E69" s="267" t="s">
        <v>453</v>
      </c>
      <c r="F69" s="269">
        <v>46086.5625</v>
      </c>
      <c r="G69" s="272" t="s">
        <v>202</v>
      </c>
      <c r="H69" s="274" t="s">
        <v>204</v>
      </c>
      <c r="I69" s="98">
        <v>368000.0</v>
      </c>
      <c r="J69" s="98">
        <v>400000.0</v>
      </c>
    </row>
    <row r="70">
      <c r="A70" s="277" t="s">
        <v>595</v>
      </c>
      <c r="B70" s="277" t="s">
        <v>596</v>
      </c>
      <c r="C70" s="277" t="s">
        <v>598</v>
      </c>
      <c r="D70" s="278" t="s">
        <v>601</v>
      </c>
      <c r="E70" s="267"/>
      <c r="F70" s="269"/>
      <c r="G70" s="272"/>
      <c r="H70" s="274" t="s">
        <v>604</v>
      </c>
      <c r="I70" s="280">
        <v>368000.0</v>
      </c>
      <c r="J70" s="98"/>
    </row>
    <row r="71">
      <c r="A71" s="56">
        <v>9.01814243E8</v>
      </c>
      <c r="B71" s="56" t="s">
        <v>449</v>
      </c>
      <c r="C71" s="56" t="s">
        <v>608</v>
      </c>
      <c r="D71" s="264" t="s">
        <v>610</v>
      </c>
      <c r="E71" s="267" t="s">
        <v>453</v>
      </c>
      <c r="F71" s="269">
        <v>46085.541666666664</v>
      </c>
      <c r="G71" s="272" t="s">
        <v>202</v>
      </c>
      <c r="H71" s="274" t="s">
        <v>204</v>
      </c>
      <c r="I71" s="98">
        <v>368000.0</v>
      </c>
      <c r="J71" s="98">
        <v>400000.0</v>
      </c>
    </row>
    <row r="72">
      <c r="A72" s="56">
        <v>9.01814243E8</v>
      </c>
      <c r="B72" s="56" t="s">
        <v>449</v>
      </c>
      <c r="C72" s="56" t="s">
        <v>616</v>
      </c>
      <c r="D72" s="284" t="s">
        <v>618</v>
      </c>
      <c r="E72" s="239" t="s">
        <v>453</v>
      </c>
      <c r="F72" s="286">
        <v>46084.583333333336</v>
      </c>
      <c r="G72" s="56" t="s">
        <v>202</v>
      </c>
      <c r="H72" s="287" t="s">
        <v>621</v>
      </c>
      <c r="I72" s="98">
        <v>200000.0</v>
      </c>
      <c r="J72" s="98">
        <v>200000.0</v>
      </c>
    </row>
    <row r="73">
      <c r="A73" s="56">
        <v>9.01814243E8</v>
      </c>
      <c r="B73" s="56" t="s">
        <v>449</v>
      </c>
      <c r="C73" s="56" t="s">
        <v>624</v>
      </c>
      <c r="D73" s="284" t="s">
        <v>625</v>
      </c>
      <c r="E73" s="239" t="s">
        <v>453</v>
      </c>
      <c r="F73" s="286">
        <v>46089.541666666664</v>
      </c>
      <c r="G73" s="56" t="s">
        <v>202</v>
      </c>
      <c r="H73" s="287" t="s">
        <v>628</v>
      </c>
      <c r="I73" s="98">
        <v>200000.0</v>
      </c>
      <c r="J73" s="98">
        <v>200000.0</v>
      </c>
    </row>
    <row r="74">
      <c r="A74" s="56">
        <v>9.01814243E8</v>
      </c>
      <c r="B74" s="56" t="s">
        <v>449</v>
      </c>
      <c r="C74" s="56" t="s">
        <v>631</v>
      </c>
      <c r="D74" s="284" t="s">
        <v>632</v>
      </c>
      <c r="E74" s="239" t="s">
        <v>453</v>
      </c>
      <c r="F74" s="286">
        <v>46090.5625</v>
      </c>
      <c r="G74" s="56" t="s">
        <v>202</v>
      </c>
      <c r="H74" s="287" t="s">
        <v>628</v>
      </c>
      <c r="I74" s="98">
        <v>200000.0</v>
      </c>
      <c r="J74" s="98">
        <v>200000.0</v>
      </c>
    </row>
    <row r="75">
      <c r="A75" s="56">
        <v>9.01814243E8</v>
      </c>
      <c r="B75" s="56" t="s">
        <v>449</v>
      </c>
      <c r="C75" s="56" t="s">
        <v>636</v>
      </c>
      <c r="D75" s="264" t="s">
        <v>637</v>
      </c>
      <c r="E75" s="267" t="s">
        <v>453</v>
      </c>
      <c r="F75" s="269">
        <v>46094.583333333336</v>
      </c>
      <c r="G75" s="272" t="s">
        <v>202</v>
      </c>
      <c r="H75" s="274" t="s">
        <v>353</v>
      </c>
      <c r="I75" s="98">
        <v>327000.0</v>
      </c>
      <c r="J75" s="98">
        <v>350000.0</v>
      </c>
    </row>
    <row r="76">
      <c r="A76" s="56">
        <v>9.01814243E8</v>
      </c>
      <c r="B76" s="56" t="s">
        <v>449</v>
      </c>
      <c r="C76" s="56" t="s">
        <v>638</v>
      </c>
      <c r="D76" s="284" t="s">
        <v>637</v>
      </c>
      <c r="E76" s="239" t="s">
        <v>453</v>
      </c>
      <c r="F76" s="286">
        <v>46095.55902777778</v>
      </c>
      <c r="G76" s="56" t="s">
        <v>202</v>
      </c>
      <c r="H76" s="287" t="s">
        <v>641</v>
      </c>
      <c r="I76" s="98">
        <v>100000.0</v>
      </c>
      <c r="J76" s="98">
        <v>400000.0</v>
      </c>
    </row>
    <row r="77">
      <c r="A77" s="248" t="s">
        <v>186</v>
      </c>
      <c r="B77" s="248" t="s">
        <v>449</v>
      </c>
      <c r="C77" s="248" t="s">
        <v>644</v>
      </c>
      <c r="D77" s="248" t="s">
        <v>646</v>
      </c>
      <c r="E77" s="248" t="s">
        <v>647</v>
      </c>
      <c r="F77" s="248" t="s">
        <v>648</v>
      </c>
      <c r="G77" s="248" t="s">
        <v>202</v>
      </c>
      <c r="H77" s="298" t="s">
        <v>651</v>
      </c>
      <c r="I77" s="299">
        <v>300000.0</v>
      </c>
      <c r="J77" s="98">
        <v>400000.0</v>
      </c>
    </row>
    <row r="78">
      <c r="A78" s="256" t="s">
        <v>186</v>
      </c>
      <c r="B78" s="256" t="s">
        <v>449</v>
      </c>
      <c r="C78" s="256" t="s">
        <v>657</v>
      </c>
      <c r="D78" s="256" t="s">
        <v>658</v>
      </c>
      <c r="E78" s="256" t="s">
        <v>659</v>
      </c>
      <c r="F78" s="256" t="s">
        <v>661</v>
      </c>
      <c r="G78" s="256" t="s">
        <v>202</v>
      </c>
      <c r="H78" s="277" t="s">
        <v>663</v>
      </c>
      <c r="I78" s="300">
        <v>200000.0</v>
      </c>
      <c r="J78" s="98">
        <v>200000.0</v>
      </c>
    </row>
    <row r="79">
      <c r="A79" s="256" t="s">
        <v>186</v>
      </c>
      <c r="B79" s="256" t="s">
        <v>449</v>
      </c>
      <c r="C79" s="256" t="s">
        <v>665</v>
      </c>
      <c r="D79" s="256" t="s">
        <v>667</v>
      </c>
      <c r="E79" s="256" t="s">
        <v>669</v>
      </c>
      <c r="F79" s="256" t="s">
        <v>670</v>
      </c>
      <c r="G79" s="256" t="s">
        <v>202</v>
      </c>
      <c r="H79" s="277" t="s">
        <v>317</v>
      </c>
      <c r="I79" s="300">
        <v>446000.0</v>
      </c>
      <c r="J79" s="98">
        <v>850000.0</v>
      </c>
    </row>
    <row r="80">
      <c r="A80" s="256" t="s">
        <v>186</v>
      </c>
      <c r="B80" s="256" t="s">
        <v>449</v>
      </c>
      <c r="C80" s="256" t="s">
        <v>673</v>
      </c>
      <c r="D80" s="256" t="s">
        <v>674</v>
      </c>
      <c r="E80" s="256" t="s">
        <v>669</v>
      </c>
      <c r="F80" s="256" t="s">
        <v>676</v>
      </c>
      <c r="G80" s="256" t="s">
        <v>202</v>
      </c>
      <c r="H80" s="277" t="s">
        <v>663</v>
      </c>
      <c r="I80" s="300">
        <v>80000.0</v>
      </c>
      <c r="J80" s="98">
        <v>150000.0</v>
      </c>
    </row>
    <row r="81">
      <c r="A81" s="256" t="s">
        <v>186</v>
      </c>
      <c r="B81" s="256" t="s">
        <v>449</v>
      </c>
      <c r="C81" s="256" t="s">
        <v>673</v>
      </c>
      <c r="D81" s="256" t="s">
        <v>674</v>
      </c>
      <c r="E81" s="256" t="s">
        <v>669</v>
      </c>
      <c r="F81" s="256" t="s">
        <v>676</v>
      </c>
      <c r="G81" s="256" t="s">
        <v>202</v>
      </c>
      <c r="H81" s="277" t="s">
        <v>683</v>
      </c>
      <c r="I81" s="300">
        <v>80000.0</v>
      </c>
      <c r="J81" s="98">
        <v>150000.0</v>
      </c>
    </row>
    <row r="82">
      <c r="A82" s="256" t="s">
        <v>186</v>
      </c>
      <c r="B82" s="256" t="s">
        <v>449</v>
      </c>
      <c r="C82" s="256" t="s">
        <v>686</v>
      </c>
      <c r="D82" s="256" t="s">
        <v>688</v>
      </c>
      <c r="E82" s="256" t="s">
        <v>669</v>
      </c>
      <c r="F82" s="256" t="s">
        <v>690</v>
      </c>
      <c r="G82" s="256" t="s">
        <v>202</v>
      </c>
      <c r="H82" s="277" t="s">
        <v>663</v>
      </c>
      <c r="I82" s="300">
        <v>100000.0</v>
      </c>
      <c r="J82" s="98">
        <v>150000.0</v>
      </c>
    </row>
    <row r="83">
      <c r="A83" s="256" t="s">
        <v>186</v>
      </c>
      <c r="B83" s="256" t="s">
        <v>449</v>
      </c>
      <c r="C83" s="256" t="s">
        <v>686</v>
      </c>
      <c r="D83" s="256" t="s">
        <v>688</v>
      </c>
      <c r="E83" s="256" t="s">
        <v>669</v>
      </c>
      <c r="F83" s="256" t="s">
        <v>690</v>
      </c>
      <c r="G83" s="256" t="s">
        <v>202</v>
      </c>
      <c r="H83" s="277" t="s">
        <v>683</v>
      </c>
      <c r="I83" s="300">
        <v>100000.0</v>
      </c>
      <c r="J83" s="98">
        <v>150000.0</v>
      </c>
    </row>
    <row r="84">
      <c r="A84" s="256" t="s">
        <v>186</v>
      </c>
      <c r="B84" s="256" t="s">
        <v>449</v>
      </c>
      <c r="C84" s="256" t="s">
        <v>697</v>
      </c>
      <c r="D84" s="256" t="s">
        <v>699</v>
      </c>
      <c r="E84" s="256" t="s">
        <v>669</v>
      </c>
      <c r="F84" s="256" t="s">
        <v>703</v>
      </c>
      <c r="G84" s="256" t="s">
        <v>202</v>
      </c>
      <c r="H84" s="277" t="s">
        <v>651</v>
      </c>
      <c r="I84" s="300">
        <v>380000.0</v>
      </c>
      <c r="J84" s="98">
        <v>400000.0</v>
      </c>
    </row>
    <row r="85">
      <c r="A85" s="256" t="s">
        <v>186</v>
      </c>
      <c r="B85" s="256" t="s">
        <v>449</v>
      </c>
      <c r="C85" s="256" t="s">
        <v>713</v>
      </c>
      <c r="D85" s="256" t="s">
        <v>716</v>
      </c>
      <c r="E85" s="256" t="s">
        <v>669</v>
      </c>
      <c r="F85" s="256" t="s">
        <v>720</v>
      </c>
      <c r="G85" s="256" t="s">
        <v>202</v>
      </c>
      <c r="H85" s="277" t="s">
        <v>204</v>
      </c>
      <c r="I85" s="300">
        <v>206000.0</v>
      </c>
      <c r="J85" s="98">
        <v>400000.0</v>
      </c>
    </row>
    <row r="86">
      <c r="A86" s="256" t="s">
        <v>186</v>
      </c>
      <c r="B86" s="256" t="s">
        <v>449</v>
      </c>
      <c r="C86" s="256" t="s">
        <v>724</v>
      </c>
      <c r="D86" s="256" t="s">
        <v>726</v>
      </c>
      <c r="E86" s="256" t="s">
        <v>669</v>
      </c>
      <c r="F86" s="256" t="s">
        <v>729</v>
      </c>
      <c r="G86" s="256" t="s">
        <v>202</v>
      </c>
      <c r="H86" s="277" t="s">
        <v>663</v>
      </c>
      <c r="I86" s="300">
        <v>100000.0</v>
      </c>
      <c r="J86" s="98">
        <v>150000.0</v>
      </c>
    </row>
    <row r="87">
      <c r="A87" s="256" t="s">
        <v>186</v>
      </c>
      <c r="B87" s="256" t="s">
        <v>449</v>
      </c>
      <c r="C87" s="256" t="s">
        <v>724</v>
      </c>
      <c r="D87" s="256" t="s">
        <v>726</v>
      </c>
      <c r="E87" s="256" t="s">
        <v>669</v>
      </c>
      <c r="F87" s="256" t="s">
        <v>729</v>
      </c>
      <c r="G87" s="256" t="s">
        <v>202</v>
      </c>
      <c r="H87" s="130" t="s">
        <v>683</v>
      </c>
      <c r="I87" s="300">
        <v>100000.0</v>
      </c>
      <c r="J87" s="98">
        <v>150000.0</v>
      </c>
    </row>
    <row r="88">
      <c r="A88" s="181"/>
      <c r="B88" s="181"/>
      <c r="C88" s="181"/>
      <c r="D88" s="183"/>
      <c r="E88" s="183"/>
      <c r="F88" s="181"/>
      <c r="G88" s="181"/>
      <c r="H88" s="181"/>
      <c r="I88" s="181"/>
      <c r="J88" s="181"/>
    </row>
    <row r="89">
      <c r="A89" s="181"/>
      <c r="B89" s="181"/>
      <c r="C89" s="181"/>
      <c r="D89" s="183"/>
      <c r="E89" s="183"/>
      <c r="F89" s="181"/>
      <c r="G89" s="181"/>
      <c r="H89" s="181"/>
      <c r="I89" s="181"/>
      <c r="J89" s="181"/>
    </row>
    <row r="90">
      <c r="A90" s="181"/>
      <c r="B90" s="181"/>
      <c r="C90" s="181"/>
      <c r="D90" s="183"/>
      <c r="E90" s="183"/>
      <c r="F90" s="181"/>
      <c r="G90" s="181"/>
      <c r="H90" s="181"/>
      <c r="I90" s="181"/>
      <c r="J90" s="181"/>
    </row>
    <row r="91">
      <c r="A91" s="181"/>
      <c r="B91" s="181"/>
      <c r="C91" s="181"/>
      <c r="D91" s="183"/>
      <c r="E91" s="183"/>
      <c r="F91" s="181"/>
      <c r="G91" s="181"/>
      <c r="H91" s="181"/>
      <c r="I91" s="181"/>
      <c r="J91" s="181"/>
    </row>
    <row r="92">
      <c r="A92" s="181"/>
      <c r="B92" s="181"/>
      <c r="C92" s="181"/>
      <c r="D92" s="183"/>
      <c r="E92" s="183"/>
      <c r="F92" s="181"/>
      <c r="G92" s="181"/>
      <c r="H92" s="190" t="s">
        <v>421</v>
      </c>
      <c r="I92" s="191">
        <f t="shared" ref="I92:J92" si="3">SUM(I69:I87)</f>
        <v>4223000</v>
      </c>
      <c r="J92" s="194">
        <f t="shared" si="3"/>
        <v>5300000</v>
      </c>
    </row>
    <row r="93">
      <c r="A93" s="181"/>
      <c r="B93" s="181"/>
      <c r="C93" s="181"/>
      <c r="D93" s="183"/>
      <c r="E93" s="183"/>
      <c r="F93" s="181"/>
      <c r="G93" s="181"/>
      <c r="H93" s="190" t="s">
        <v>435</v>
      </c>
      <c r="I93" s="191">
        <f>J92-I92</f>
        <v>1077000</v>
      </c>
      <c r="J93" s="181"/>
    </row>
    <row r="94">
      <c r="A94" s="181"/>
      <c r="B94" s="181"/>
      <c r="C94" s="181"/>
      <c r="D94" s="183"/>
      <c r="E94" s="183"/>
      <c r="F94" s="181"/>
      <c r="G94" s="181"/>
      <c r="H94" s="181"/>
      <c r="I94" s="181"/>
      <c r="J94" s="181"/>
    </row>
    <row r="95">
      <c r="A95" s="181"/>
      <c r="B95" s="181"/>
      <c r="C95" s="181"/>
      <c r="D95" s="183"/>
      <c r="E95" s="183"/>
      <c r="F95" s="181"/>
      <c r="G95" s="181"/>
      <c r="H95" s="181"/>
      <c r="I95" s="181"/>
      <c r="J95" s="181"/>
    </row>
    <row r="96">
      <c r="A96" s="201" t="s">
        <v>153</v>
      </c>
      <c r="B96" s="201" t="s">
        <v>439</v>
      </c>
      <c r="C96" s="201" t="s">
        <v>157</v>
      </c>
      <c r="D96" s="201" t="s">
        <v>163</v>
      </c>
      <c r="E96" s="201" t="s">
        <v>440</v>
      </c>
      <c r="F96" s="201" t="s">
        <v>762</v>
      </c>
      <c r="G96" s="201" t="s">
        <v>164</v>
      </c>
      <c r="H96" s="201" t="s">
        <v>175</v>
      </c>
      <c r="I96" s="201" t="s">
        <v>442</v>
      </c>
      <c r="J96" s="125" t="s">
        <v>182</v>
      </c>
    </row>
    <row r="97">
      <c r="A97" s="327" t="s">
        <v>186</v>
      </c>
      <c r="B97" s="327" t="s">
        <v>449</v>
      </c>
      <c r="C97" s="327" t="s">
        <v>770</v>
      </c>
      <c r="D97" s="327" t="s">
        <v>771</v>
      </c>
      <c r="E97" s="327" t="s">
        <v>647</v>
      </c>
      <c r="F97" s="327" t="s">
        <v>772</v>
      </c>
      <c r="G97" s="327" t="s">
        <v>775</v>
      </c>
      <c r="H97" s="328" t="s">
        <v>371</v>
      </c>
      <c r="I97" s="257">
        <v>300000.0</v>
      </c>
      <c r="J97" s="50">
        <v>400000.0</v>
      </c>
    </row>
    <row r="98">
      <c r="A98" s="327" t="s">
        <v>186</v>
      </c>
      <c r="B98" s="327" t="s">
        <v>449</v>
      </c>
      <c r="C98" s="327" t="s">
        <v>781</v>
      </c>
      <c r="D98" s="327" t="s">
        <v>782</v>
      </c>
      <c r="E98" s="327" t="s">
        <v>669</v>
      </c>
      <c r="F98" s="327" t="s">
        <v>598</v>
      </c>
      <c r="G98" s="327" t="s">
        <v>783</v>
      </c>
      <c r="H98" s="328" t="s">
        <v>204</v>
      </c>
      <c r="I98" s="257">
        <v>300000.0</v>
      </c>
      <c r="J98" s="50">
        <v>380000.0</v>
      </c>
    </row>
    <row r="99">
      <c r="A99" s="327" t="s">
        <v>186</v>
      </c>
      <c r="B99" s="327" t="s">
        <v>449</v>
      </c>
      <c r="C99" s="327" t="s">
        <v>789</v>
      </c>
      <c r="D99" s="327" t="s">
        <v>791</v>
      </c>
      <c r="E99" s="327" t="s">
        <v>669</v>
      </c>
      <c r="F99" s="327" t="s">
        <v>598</v>
      </c>
      <c r="G99" s="327" t="s">
        <v>792</v>
      </c>
      <c r="H99" s="328" t="s">
        <v>371</v>
      </c>
      <c r="I99" s="257">
        <v>300000.0</v>
      </c>
      <c r="J99" s="50">
        <v>400000.0</v>
      </c>
    </row>
    <row r="100">
      <c r="A100" s="327" t="s">
        <v>186</v>
      </c>
      <c r="B100" s="327" t="s">
        <v>449</v>
      </c>
      <c r="C100" s="327" t="s">
        <v>797</v>
      </c>
      <c r="D100" s="327" t="s">
        <v>798</v>
      </c>
      <c r="E100" s="327" t="s">
        <v>659</v>
      </c>
      <c r="F100" s="327" t="s">
        <v>801</v>
      </c>
      <c r="G100" s="327" t="s">
        <v>802</v>
      </c>
      <c r="H100" s="328" t="s">
        <v>803</v>
      </c>
      <c r="I100" s="257">
        <v>200000.0</v>
      </c>
      <c r="J100" s="50">
        <v>400000.0</v>
      </c>
    </row>
    <row r="101">
      <c r="A101" s="327" t="s">
        <v>186</v>
      </c>
      <c r="B101" s="327" t="s">
        <v>449</v>
      </c>
      <c r="C101" s="327" t="s">
        <v>807</v>
      </c>
      <c r="D101" s="327" t="s">
        <v>808</v>
      </c>
      <c r="E101" s="327" t="s">
        <v>669</v>
      </c>
      <c r="F101" s="327" t="s">
        <v>598</v>
      </c>
      <c r="G101" s="327" t="s">
        <v>811</v>
      </c>
      <c r="H101" s="328" t="s">
        <v>204</v>
      </c>
      <c r="I101" s="257">
        <v>400000.0</v>
      </c>
      <c r="J101" s="50">
        <v>380000.0</v>
      </c>
    </row>
    <row r="102">
      <c r="A102" s="327" t="s">
        <v>186</v>
      </c>
      <c r="B102" s="327" t="s">
        <v>449</v>
      </c>
      <c r="C102" s="327" t="s">
        <v>814</v>
      </c>
      <c r="D102" s="327" t="s">
        <v>816</v>
      </c>
      <c r="E102" s="327" t="s">
        <v>669</v>
      </c>
      <c r="F102" s="327" t="s">
        <v>598</v>
      </c>
      <c r="G102" s="327" t="s">
        <v>819</v>
      </c>
      <c r="H102" s="328" t="s">
        <v>204</v>
      </c>
      <c r="I102" s="257">
        <v>400000.0</v>
      </c>
      <c r="J102" s="50">
        <v>380000.0</v>
      </c>
    </row>
    <row r="103">
      <c r="A103" s="327" t="s">
        <v>186</v>
      </c>
      <c r="B103" s="327" t="s">
        <v>449</v>
      </c>
      <c r="C103" s="327" t="s">
        <v>822</v>
      </c>
      <c r="D103" s="327" t="s">
        <v>823</v>
      </c>
      <c r="E103" s="327" t="s">
        <v>659</v>
      </c>
      <c r="F103" s="327" t="s">
        <v>824</v>
      </c>
      <c r="G103" s="327" t="s">
        <v>825</v>
      </c>
      <c r="H103" s="328" t="s">
        <v>371</v>
      </c>
      <c r="I103" s="257">
        <v>350000.0</v>
      </c>
      <c r="J103" s="50">
        <v>400000.0</v>
      </c>
    </row>
    <row r="104">
      <c r="A104" s="327" t="s">
        <v>186</v>
      </c>
      <c r="B104" s="327" t="s">
        <v>449</v>
      </c>
      <c r="C104" s="327" t="s">
        <v>827</v>
      </c>
      <c r="D104" s="327" t="s">
        <v>823</v>
      </c>
      <c r="E104" s="327" t="s">
        <v>659</v>
      </c>
      <c r="F104" s="327" t="s">
        <v>824</v>
      </c>
      <c r="G104" s="327" t="s">
        <v>829</v>
      </c>
      <c r="H104" s="328" t="s">
        <v>317</v>
      </c>
      <c r="I104" s="257">
        <v>446000.0</v>
      </c>
      <c r="J104" s="50">
        <v>850000.0</v>
      </c>
    </row>
    <row r="105">
      <c r="A105" s="327" t="s">
        <v>186</v>
      </c>
      <c r="B105" s="327" t="s">
        <v>449</v>
      </c>
      <c r="C105" s="327" t="s">
        <v>830</v>
      </c>
      <c r="D105" s="327" t="s">
        <v>831</v>
      </c>
      <c r="E105" s="327" t="s">
        <v>669</v>
      </c>
      <c r="F105" s="327" t="s">
        <v>598</v>
      </c>
      <c r="G105" s="327" t="s">
        <v>832</v>
      </c>
      <c r="H105" s="328" t="s">
        <v>651</v>
      </c>
      <c r="I105" s="257">
        <v>300000.0</v>
      </c>
      <c r="J105" s="50">
        <v>380000.0</v>
      </c>
    </row>
    <row r="106">
      <c r="A106" s="181"/>
      <c r="B106" s="181"/>
      <c r="C106" s="181"/>
      <c r="D106" s="183"/>
      <c r="E106" s="183"/>
      <c r="F106" s="181"/>
      <c r="G106" s="181"/>
      <c r="H106" s="181"/>
      <c r="I106" s="181"/>
      <c r="J106" s="181"/>
    </row>
    <row r="107">
      <c r="A107" s="181"/>
      <c r="B107" s="181"/>
      <c r="C107" s="181"/>
      <c r="D107" s="183"/>
      <c r="E107" s="183"/>
      <c r="F107" s="181"/>
      <c r="G107" s="181"/>
      <c r="H107" s="181"/>
      <c r="I107" s="181"/>
      <c r="J107" s="181"/>
    </row>
    <row r="108">
      <c r="A108" s="181"/>
      <c r="B108" s="181"/>
      <c r="C108" s="181"/>
      <c r="D108" s="183"/>
      <c r="E108" s="183"/>
      <c r="F108" s="181"/>
      <c r="G108" s="181"/>
      <c r="H108" s="181"/>
      <c r="I108" s="181"/>
      <c r="J108" s="181"/>
    </row>
    <row r="109">
      <c r="A109" s="181"/>
      <c r="B109" s="181"/>
      <c r="C109" s="181"/>
      <c r="D109" s="183"/>
      <c r="E109" s="183"/>
      <c r="F109" s="181"/>
      <c r="G109" s="181"/>
      <c r="H109" s="190" t="s">
        <v>421</v>
      </c>
      <c r="I109" s="191">
        <f>SUM(I97:I105)</f>
        <v>2996000</v>
      </c>
      <c r="J109" s="194">
        <f>SUM(J86:J104)</f>
        <v>9190000</v>
      </c>
    </row>
    <row r="110">
      <c r="A110" s="181"/>
      <c r="B110" s="181"/>
      <c r="C110" s="181"/>
      <c r="D110" s="183"/>
      <c r="E110" s="183"/>
      <c r="F110" s="181"/>
      <c r="G110" s="181"/>
      <c r="H110" s="190" t="s">
        <v>435</v>
      </c>
      <c r="I110" s="191">
        <f>J109-I109</f>
        <v>6194000</v>
      </c>
      <c r="J110" s="181"/>
    </row>
    <row r="111">
      <c r="A111" s="181"/>
      <c r="B111" s="181"/>
      <c r="C111" s="181"/>
      <c r="D111" s="183"/>
      <c r="E111" s="183"/>
      <c r="F111" s="181"/>
      <c r="G111" s="181"/>
      <c r="H111" s="181"/>
      <c r="I111" s="181"/>
      <c r="J111" s="181"/>
    </row>
    <row r="112">
      <c r="A112" s="181"/>
      <c r="B112" s="181"/>
      <c r="C112" s="181"/>
      <c r="D112" s="183"/>
      <c r="E112" s="183"/>
      <c r="F112" s="181"/>
      <c r="G112" s="181"/>
      <c r="H112" s="181"/>
      <c r="I112" s="181"/>
      <c r="J112" s="181"/>
    </row>
    <row r="113">
      <c r="A113" s="181"/>
      <c r="B113" s="181"/>
      <c r="C113" s="181"/>
      <c r="D113" s="183"/>
      <c r="E113" s="183"/>
      <c r="F113" s="181"/>
      <c r="G113" s="181"/>
      <c r="H113" s="181"/>
      <c r="I113" s="181"/>
      <c r="J113" s="181"/>
    </row>
    <row r="114">
      <c r="A114" s="181"/>
      <c r="B114" s="181"/>
      <c r="C114" s="181"/>
      <c r="D114" s="183"/>
      <c r="E114" s="183"/>
      <c r="F114" s="181"/>
      <c r="G114" s="181"/>
      <c r="H114" s="181"/>
      <c r="I114" s="181"/>
      <c r="J114" s="181"/>
    </row>
    <row r="115">
      <c r="A115" s="181"/>
      <c r="B115" s="181"/>
      <c r="C115" s="181"/>
      <c r="D115" s="183"/>
      <c r="E115" s="183"/>
      <c r="F115" s="181"/>
      <c r="G115" s="181"/>
      <c r="H115" s="181"/>
      <c r="I115" s="181"/>
      <c r="J115" s="181"/>
    </row>
    <row r="116">
      <c r="A116" s="181"/>
      <c r="B116" s="181"/>
      <c r="C116" s="181"/>
      <c r="D116" s="183"/>
      <c r="E116" s="183"/>
      <c r="F116" s="181"/>
      <c r="G116" s="181"/>
      <c r="H116" s="181"/>
      <c r="I116" s="181"/>
      <c r="J116" s="181"/>
    </row>
    <row r="117">
      <c r="A117" s="181"/>
      <c r="B117" s="181"/>
      <c r="C117" s="181"/>
      <c r="D117" s="183"/>
      <c r="E117" s="183"/>
      <c r="F117" s="181"/>
      <c r="G117" s="181"/>
      <c r="H117" s="181"/>
      <c r="I117" s="181"/>
      <c r="J117" s="181"/>
    </row>
    <row r="118">
      <c r="A118" s="201" t="s">
        <v>153</v>
      </c>
      <c r="B118" s="201" t="s">
        <v>439</v>
      </c>
      <c r="C118" s="201" t="s">
        <v>157</v>
      </c>
      <c r="D118" s="201" t="s">
        <v>762</v>
      </c>
      <c r="E118" s="201" t="s">
        <v>163</v>
      </c>
      <c r="F118" s="201" t="s">
        <v>440</v>
      </c>
      <c r="G118" s="201" t="s">
        <v>164</v>
      </c>
      <c r="H118" s="201" t="s">
        <v>175</v>
      </c>
      <c r="I118" s="201" t="s">
        <v>442</v>
      </c>
      <c r="J118" s="125" t="s">
        <v>182</v>
      </c>
    </row>
    <row r="119">
      <c r="A119" s="130" t="s">
        <v>186</v>
      </c>
      <c r="B119" s="130" t="s">
        <v>449</v>
      </c>
      <c r="C119" s="130" t="s">
        <v>871</v>
      </c>
      <c r="D119" s="130" t="s">
        <v>872</v>
      </c>
      <c r="E119" s="130" t="s">
        <v>874</v>
      </c>
      <c r="F119" s="130" t="s">
        <v>659</v>
      </c>
      <c r="G119" s="130" t="s">
        <v>876</v>
      </c>
      <c r="H119" s="130" t="s">
        <v>877</v>
      </c>
      <c r="I119" s="240">
        <v>249000.0</v>
      </c>
      <c r="J119" s="227">
        <v>350000.0</v>
      </c>
    </row>
    <row r="120">
      <c r="A120" s="130" t="s">
        <v>186</v>
      </c>
      <c r="B120" s="130" t="s">
        <v>449</v>
      </c>
      <c r="C120" s="130" t="s">
        <v>882</v>
      </c>
      <c r="D120" s="130" t="s">
        <v>598</v>
      </c>
      <c r="E120" s="130" t="s">
        <v>444</v>
      </c>
      <c r="F120" s="130" t="s">
        <v>669</v>
      </c>
      <c r="G120" s="130" t="s">
        <v>883</v>
      </c>
      <c r="H120" s="130" t="s">
        <v>204</v>
      </c>
      <c r="I120" s="240">
        <v>360000.0</v>
      </c>
      <c r="J120" s="227">
        <v>380000.0</v>
      </c>
    </row>
    <row r="121">
      <c r="A121" s="130" t="s">
        <v>186</v>
      </c>
      <c r="B121" s="130" t="s">
        <v>449</v>
      </c>
      <c r="C121" s="130" t="s">
        <v>885</v>
      </c>
      <c r="D121" s="130" t="s">
        <v>598</v>
      </c>
      <c r="E121" s="130" t="s">
        <v>886</v>
      </c>
      <c r="F121" s="130" t="s">
        <v>669</v>
      </c>
      <c r="G121" s="130" t="s">
        <v>887</v>
      </c>
      <c r="H121" s="130" t="s">
        <v>204</v>
      </c>
      <c r="I121" s="240">
        <v>380000.0</v>
      </c>
      <c r="J121" s="227">
        <v>380000.0</v>
      </c>
    </row>
    <row r="122">
      <c r="A122" s="130" t="s">
        <v>186</v>
      </c>
      <c r="B122" s="130" t="s">
        <v>449</v>
      </c>
      <c r="C122" s="130" t="s">
        <v>891</v>
      </c>
      <c r="D122" s="130" t="s">
        <v>892</v>
      </c>
      <c r="E122" s="130" t="s">
        <v>893</v>
      </c>
      <c r="F122" s="130" t="s">
        <v>659</v>
      </c>
      <c r="G122" s="130" t="s">
        <v>894</v>
      </c>
      <c r="H122" s="130" t="s">
        <v>353</v>
      </c>
      <c r="I122" s="240">
        <v>210000.0</v>
      </c>
      <c r="J122" s="227">
        <v>380000.0</v>
      </c>
    </row>
    <row r="123">
      <c r="A123" s="130" t="s">
        <v>186</v>
      </c>
      <c r="B123" s="130" t="s">
        <v>449</v>
      </c>
      <c r="C123" s="130" t="s">
        <v>897</v>
      </c>
      <c r="D123" s="130" t="s">
        <v>898</v>
      </c>
      <c r="E123" s="130" t="s">
        <v>899</v>
      </c>
      <c r="F123" s="130" t="s">
        <v>900</v>
      </c>
      <c r="G123" s="130" t="s">
        <v>901</v>
      </c>
      <c r="H123" s="130" t="s">
        <v>204</v>
      </c>
      <c r="I123" s="240">
        <v>330000.0</v>
      </c>
      <c r="J123" s="227">
        <v>380000.0</v>
      </c>
    </row>
    <row r="124">
      <c r="A124" s="130" t="s">
        <v>186</v>
      </c>
      <c r="B124" s="130" t="s">
        <v>449</v>
      </c>
      <c r="C124" s="130" t="s">
        <v>902</v>
      </c>
      <c r="D124" s="130" t="s">
        <v>598</v>
      </c>
      <c r="E124" s="130" t="s">
        <v>903</v>
      </c>
      <c r="F124" s="130" t="s">
        <v>669</v>
      </c>
      <c r="G124" s="130" t="s">
        <v>905</v>
      </c>
      <c r="H124" s="130" t="s">
        <v>393</v>
      </c>
      <c r="I124" s="240">
        <v>100000.0</v>
      </c>
      <c r="J124" s="227">
        <v>100000.0</v>
      </c>
    </row>
    <row r="125">
      <c r="A125" s="277" t="s">
        <v>186</v>
      </c>
      <c r="B125" s="130" t="s">
        <v>449</v>
      </c>
      <c r="C125" s="130" t="s">
        <v>907</v>
      </c>
      <c r="D125" s="130" t="s">
        <v>598</v>
      </c>
      <c r="E125" s="130" t="s">
        <v>908</v>
      </c>
      <c r="F125" s="130" t="s">
        <v>669</v>
      </c>
      <c r="G125" s="130" t="s">
        <v>910</v>
      </c>
      <c r="H125" s="130" t="s">
        <v>468</v>
      </c>
      <c r="I125" s="240">
        <v>360000.0</v>
      </c>
      <c r="J125" s="227">
        <v>380000.0</v>
      </c>
    </row>
    <row r="126">
      <c r="A126" s="130" t="s">
        <v>186</v>
      </c>
      <c r="B126" s="130" t="s">
        <v>449</v>
      </c>
      <c r="C126" s="130" t="s">
        <v>912</v>
      </c>
      <c r="D126" s="130" t="s">
        <v>598</v>
      </c>
      <c r="E126" s="130" t="s">
        <v>913</v>
      </c>
      <c r="F126" s="130" t="s">
        <v>669</v>
      </c>
      <c r="G126" s="130" t="s">
        <v>915</v>
      </c>
      <c r="H126" s="130" t="s">
        <v>204</v>
      </c>
      <c r="I126" s="240">
        <v>380000.0</v>
      </c>
      <c r="J126" s="227">
        <v>380000.0</v>
      </c>
    </row>
    <row r="127">
      <c r="A127" s="130" t="s">
        <v>186</v>
      </c>
      <c r="B127" s="130" t="s">
        <v>449</v>
      </c>
      <c r="C127" s="130" t="s">
        <v>916</v>
      </c>
      <c r="D127" s="130" t="s">
        <v>872</v>
      </c>
      <c r="E127" s="130" t="s">
        <v>917</v>
      </c>
      <c r="F127" s="130" t="s">
        <v>659</v>
      </c>
      <c r="G127" s="130" t="s">
        <v>918</v>
      </c>
      <c r="H127" s="130" t="s">
        <v>877</v>
      </c>
      <c r="I127" s="240">
        <v>280000.0</v>
      </c>
      <c r="J127" s="227">
        <v>350000.0</v>
      </c>
    </row>
    <row r="128">
      <c r="A128" s="130" t="s">
        <v>186</v>
      </c>
      <c r="B128" s="130" t="s">
        <v>449</v>
      </c>
      <c r="C128" s="130" t="s">
        <v>919</v>
      </c>
      <c r="D128" s="130" t="s">
        <v>920</v>
      </c>
      <c r="E128" s="130" t="s">
        <v>472</v>
      </c>
      <c r="F128" s="130" t="s">
        <v>659</v>
      </c>
      <c r="G128" s="130" t="s">
        <v>921</v>
      </c>
      <c r="H128" s="130" t="s">
        <v>204</v>
      </c>
      <c r="I128" s="240">
        <v>150000.0</v>
      </c>
      <c r="J128" s="227">
        <v>380000.0</v>
      </c>
    </row>
    <row r="129">
      <c r="A129" s="181"/>
      <c r="B129" s="181"/>
      <c r="C129" s="181"/>
      <c r="D129" s="183"/>
      <c r="E129" s="183"/>
      <c r="F129" s="181"/>
      <c r="G129" s="181"/>
      <c r="H129" s="181"/>
      <c r="I129" s="181"/>
      <c r="J129" s="181"/>
    </row>
    <row r="130">
      <c r="A130" s="181"/>
      <c r="B130" s="181"/>
      <c r="C130" s="181"/>
      <c r="D130" s="183"/>
      <c r="E130" s="183"/>
      <c r="F130" s="181"/>
      <c r="G130" s="181"/>
      <c r="H130" s="181"/>
      <c r="I130" s="181"/>
      <c r="J130" s="181"/>
    </row>
    <row r="131">
      <c r="A131" s="181"/>
      <c r="B131" s="181"/>
      <c r="C131" s="181"/>
      <c r="D131" s="183"/>
      <c r="E131" s="183"/>
      <c r="F131" s="181"/>
      <c r="G131" s="181"/>
      <c r="H131" s="181"/>
      <c r="I131" s="181"/>
      <c r="J131" s="181"/>
    </row>
    <row r="132">
      <c r="A132" s="181"/>
      <c r="B132" s="181"/>
      <c r="C132" s="181"/>
      <c r="D132" s="183"/>
      <c r="E132" s="183"/>
      <c r="F132" s="181"/>
      <c r="G132" s="181"/>
      <c r="H132" s="190" t="s">
        <v>421</v>
      </c>
      <c r="I132" s="191">
        <f t="shared" ref="I132:J132" si="4">SUM(I119:I128)</f>
        <v>2799000</v>
      </c>
      <c r="J132" s="194">
        <f t="shared" si="4"/>
        <v>3460000</v>
      </c>
    </row>
    <row r="133">
      <c r="A133" s="181"/>
      <c r="B133" s="181"/>
      <c r="C133" s="181"/>
      <c r="D133" s="183"/>
      <c r="E133" s="183"/>
      <c r="F133" s="181"/>
      <c r="G133" s="181"/>
      <c r="H133" s="190" t="s">
        <v>435</v>
      </c>
      <c r="I133" s="191">
        <f>J132-I132</f>
        <v>661000</v>
      </c>
      <c r="J133" s="181"/>
    </row>
    <row r="134">
      <c r="A134" s="181"/>
      <c r="B134" s="181"/>
      <c r="C134" s="181"/>
      <c r="D134" s="183"/>
      <c r="E134" s="183"/>
      <c r="F134" s="181"/>
      <c r="G134" s="181"/>
      <c r="H134" s="181"/>
      <c r="I134" s="181"/>
      <c r="J134" s="181"/>
    </row>
    <row r="135">
      <c r="A135" s="181"/>
      <c r="B135" s="181"/>
      <c r="C135" s="181"/>
      <c r="D135" s="183"/>
      <c r="E135" s="183"/>
      <c r="F135" s="181"/>
      <c r="G135" s="181"/>
      <c r="H135" s="181"/>
      <c r="I135" s="181"/>
      <c r="J135" s="181"/>
    </row>
    <row r="136">
      <c r="A136" s="201" t="s">
        <v>153</v>
      </c>
      <c r="B136" s="201" t="s">
        <v>439</v>
      </c>
      <c r="C136" s="201" t="s">
        <v>157</v>
      </c>
      <c r="D136" s="201" t="s">
        <v>762</v>
      </c>
      <c r="E136" s="201" t="s">
        <v>163</v>
      </c>
      <c r="F136" s="201" t="s">
        <v>440</v>
      </c>
      <c r="G136" s="201" t="s">
        <v>164</v>
      </c>
      <c r="H136" s="201" t="s">
        <v>175</v>
      </c>
      <c r="I136" s="201" t="s">
        <v>442</v>
      </c>
      <c r="J136" s="125" t="s">
        <v>182</v>
      </c>
    </row>
    <row r="137">
      <c r="A137" s="327" t="s">
        <v>186</v>
      </c>
      <c r="B137" s="327" t="s">
        <v>449</v>
      </c>
      <c r="C137" s="327" t="s">
        <v>944</v>
      </c>
      <c r="D137" s="327" t="s">
        <v>598</v>
      </c>
      <c r="E137" s="327" t="s">
        <v>945</v>
      </c>
      <c r="F137" s="327" t="s">
        <v>669</v>
      </c>
      <c r="G137" s="327" t="s">
        <v>947</v>
      </c>
      <c r="H137" s="327" t="s">
        <v>204</v>
      </c>
      <c r="I137" s="354">
        <v>380000.0</v>
      </c>
      <c r="J137" s="50">
        <v>380000.0</v>
      </c>
    </row>
    <row r="138">
      <c r="A138" s="327" t="s">
        <v>186</v>
      </c>
      <c r="B138" s="327" t="s">
        <v>449</v>
      </c>
      <c r="C138" s="327" t="s">
        <v>953</v>
      </c>
      <c r="D138" s="327" t="s">
        <v>955</v>
      </c>
      <c r="E138" s="327" t="s">
        <v>956</v>
      </c>
      <c r="F138" s="327" t="s">
        <v>659</v>
      </c>
      <c r="G138" s="327" t="s">
        <v>958</v>
      </c>
      <c r="H138" s="327" t="s">
        <v>317</v>
      </c>
      <c r="I138" s="354">
        <v>350000.0</v>
      </c>
      <c r="J138" s="50">
        <v>850000.0</v>
      </c>
    </row>
    <row r="139">
      <c r="A139" s="327" t="s">
        <v>186</v>
      </c>
      <c r="B139" s="327" t="s">
        <v>449</v>
      </c>
      <c r="C139" s="327" t="s">
        <v>959</v>
      </c>
      <c r="D139" s="327" t="s">
        <v>598</v>
      </c>
      <c r="E139" s="327" t="s">
        <v>960</v>
      </c>
      <c r="F139" s="327" t="s">
        <v>669</v>
      </c>
      <c r="G139" s="327" t="s">
        <v>961</v>
      </c>
      <c r="H139" s="327" t="s">
        <v>204</v>
      </c>
      <c r="I139" s="354">
        <v>380000.0</v>
      </c>
      <c r="J139" s="50">
        <v>380000.0</v>
      </c>
    </row>
    <row r="140">
      <c r="A140" s="327" t="s">
        <v>186</v>
      </c>
      <c r="B140" s="327" t="s">
        <v>449</v>
      </c>
      <c r="C140" s="327" t="s">
        <v>964</v>
      </c>
      <c r="D140" s="327" t="s">
        <v>598</v>
      </c>
      <c r="E140" s="327" t="s">
        <v>495</v>
      </c>
      <c r="F140" s="327" t="s">
        <v>669</v>
      </c>
      <c r="G140" s="327" t="s">
        <v>966</v>
      </c>
      <c r="H140" s="327" t="s">
        <v>204</v>
      </c>
      <c r="I140" s="354">
        <v>380000.0</v>
      </c>
      <c r="J140" s="50">
        <v>380000.0</v>
      </c>
    </row>
    <row r="141">
      <c r="A141" s="327" t="s">
        <v>186</v>
      </c>
      <c r="B141" s="327" t="s">
        <v>449</v>
      </c>
      <c r="C141" s="327" t="s">
        <v>967</v>
      </c>
      <c r="D141" s="327" t="s">
        <v>598</v>
      </c>
      <c r="E141" s="327" t="s">
        <v>968</v>
      </c>
      <c r="F141" s="327" t="s">
        <v>669</v>
      </c>
      <c r="G141" s="327" t="s">
        <v>969</v>
      </c>
      <c r="H141" s="327" t="s">
        <v>651</v>
      </c>
      <c r="I141" s="354">
        <v>255000.0</v>
      </c>
      <c r="J141" s="50">
        <v>380000.0</v>
      </c>
    </row>
    <row r="142">
      <c r="A142" s="327" t="s">
        <v>186</v>
      </c>
      <c r="B142" s="327" t="s">
        <v>449</v>
      </c>
      <c r="C142" s="327" t="s">
        <v>971</v>
      </c>
      <c r="D142" s="327" t="s">
        <v>598</v>
      </c>
      <c r="E142" s="327" t="s">
        <v>972</v>
      </c>
      <c r="F142" s="327" t="s">
        <v>973</v>
      </c>
      <c r="G142" s="327" t="s">
        <v>974</v>
      </c>
      <c r="H142" s="327" t="s">
        <v>621</v>
      </c>
      <c r="I142" s="354">
        <v>80000.0</v>
      </c>
      <c r="J142" s="50">
        <v>100000.0</v>
      </c>
    </row>
    <row r="143">
      <c r="A143" s="327" t="s">
        <v>186</v>
      </c>
      <c r="B143" s="327" t="s">
        <v>449</v>
      </c>
      <c r="C143" s="327" t="s">
        <v>976</v>
      </c>
      <c r="D143" s="327" t="s">
        <v>801</v>
      </c>
      <c r="E143" s="327" t="s">
        <v>978</v>
      </c>
      <c r="F143" s="327" t="s">
        <v>659</v>
      </c>
      <c r="G143" s="327" t="s">
        <v>980</v>
      </c>
      <c r="H143" s="327" t="s">
        <v>232</v>
      </c>
      <c r="I143" s="354">
        <v>300000.0</v>
      </c>
      <c r="J143" s="50">
        <v>400000.0</v>
      </c>
    </row>
    <row r="144">
      <c r="A144" s="327" t="s">
        <v>186</v>
      </c>
      <c r="B144" s="327" t="s">
        <v>449</v>
      </c>
      <c r="C144" s="327" t="s">
        <v>981</v>
      </c>
      <c r="D144" s="327" t="s">
        <v>598</v>
      </c>
      <c r="E144" s="327" t="s">
        <v>982</v>
      </c>
      <c r="F144" s="327" t="s">
        <v>659</v>
      </c>
      <c r="G144" s="327" t="s">
        <v>983</v>
      </c>
      <c r="H144" s="327" t="s">
        <v>393</v>
      </c>
      <c r="I144" s="354">
        <v>200000.0</v>
      </c>
      <c r="J144" s="50">
        <v>200000.0</v>
      </c>
    </row>
    <row r="145">
      <c r="A145" s="327" t="s">
        <v>186</v>
      </c>
      <c r="B145" s="327" t="s">
        <v>449</v>
      </c>
      <c r="C145" s="327" t="s">
        <v>985</v>
      </c>
      <c r="D145" s="327" t="s">
        <v>598</v>
      </c>
      <c r="E145" s="327" t="s">
        <v>986</v>
      </c>
      <c r="F145" s="327" t="s">
        <v>669</v>
      </c>
      <c r="G145" s="327" t="s">
        <v>987</v>
      </c>
      <c r="H145" s="327" t="s">
        <v>204</v>
      </c>
      <c r="I145" s="354">
        <v>300000.0</v>
      </c>
      <c r="J145" s="50">
        <v>380000.0</v>
      </c>
    </row>
    <row r="146">
      <c r="A146" s="327" t="s">
        <v>186</v>
      </c>
      <c r="B146" s="327" t="s">
        <v>449</v>
      </c>
      <c r="C146" s="327" t="s">
        <v>991</v>
      </c>
      <c r="D146" s="327" t="s">
        <v>955</v>
      </c>
      <c r="E146" s="327" t="s">
        <v>956</v>
      </c>
      <c r="F146" s="327" t="s">
        <v>659</v>
      </c>
      <c r="G146" s="327" t="s">
        <v>993</v>
      </c>
      <c r="H146" s="327" t="s">
        <v>375</v>
      </c>
      <c r="I146" s="354">
        <v>150000.0</v>
      </c>
      <c r="J146" s="50">
        <v>150000.0</v>
      </c>
    </row>
    <row r="147">
      <c r="A147" s="327" t="s">
        <v>186</v>
      </c>
      <c r="B147" s="327" t="s">
        <v>449</v>
      </c>
      <c r="C147" s="327" t="s">
        <v>991</v>
      </c>
      <c r="D147" s="327" t="s">
        <v>955</v>
      </c>
      <c r="E147" s="327" t="s">
        <v>956</v>
      </c>
      <c r="F147" s="327" t="s">
        <v>659</v>
      </c>
      <c r="G147" s="327" t="s">
        <v>993</v>
      </c>
      <c r="H147" s="327" t="s">
        <v>375</v>
      </c>
      <c r="I147" s="354">
        <v>150000.0</v>
      </c>
      <c r="J147" s="50">
        <v>150000.0</v>
      </c>
    </row>
    <row r="148">
      <c r="A148" s="327" t="s">
        <v>186</v>
      </c>
      <c r="B148" s="327" t="s">
        <v>449</v>
      </c>
      <c r="C148" s="327" t="s">
        <v>994</v>
      </c>
      <c r="D148" s="327" t="s">
        <v>801</v>
      </c>
      <c r="E148" s="327" t="s">
        <v>995</v>
      </c>
      <c r="F148" s="327" t="s">
        <v>659</v>
      </c>
      <c r="G148" s="327" t="s">
        <v>996</v>
      </c>
      <c r="H148" s="327" t="s">
        <v>997</v>
      </c>
      <c r="I148" s="354">
        <v>100000.0</v>
      </c>
      <c r="J148" s="50">
        <v>100000.0</v>
      </c>
    </row>
    <row r="149">
      <c r="A149" s="181"/>
      <c r="B149" s="181"/>
      <c r="C149" s="181"/>
      <c r="D149" s="183"/>
      <c r="E149" s="183"/>
      <c r="F149" s="181"/>
      <c r="G149" s="181"/>
      <c r="H149" s="181"/>
      <c r="I149" s="181"/>
      <c r="J149" s="181"/>
    </row>
    <row r="150">
      <c r="A150" s="181"/>
      <c r="B150" s="181"/>
      <c r="C150" s="181"/>
      <c r="D150" s="183"/>
      <c r="E150" s="183"/>
      <c r="F150" s="181"/>
      <c r="G150" s="181"/>
      <c r="H150" s="181"/>
      <c r="I150" s="181"/>
      <c r="J150" s="181"/>
    </row>
    <row r="151">
      <c r="A151" s="181"/>
      <c r="B151" s="181"/>
      <c r="C151" s="181"/>
      <c r="D151" s="183"/>
      <c r="E151" s="183"/>
      <c r="F151" s="181"/>
      <c r="G151" s="181"/>
      <c r="H151" s="190" t="s">
        <v>421</v>
      </c>
      <c r="I151" s="191">
        <f t="shared" ref="I151:J151" si="5">SUM(I137:I148)</f>
        <v>3025000</v>
      </c>
      <c r="J151" s="194">
        <f t="shared" si="5"/>
        <v>3850000</v>
      </c>
    </row>
    <row r="152">
      <c r="A152" s="181"/>
      <c r="B152" s="181"/>
      <c r="C152" s="181"/>
      <c r="D152" s="183"/>
      <c r="E152" s="183"/>
      <c r="F152" s="181"/>
      <c r="G152" s="181"/>
      <c r="H152" s="190" t="s">
        <v>435</v>
      </c>
      <c r="I152" s="191">
        <f>J151-I151</f>
        <v>825000</v>
      </c>
      <c r="J152" s="184"/>
    </row>
    <row r="153">
      <c r="A153" s="181"/>
      <c r="B153" s="181"/>
      <c r="C153" s="181"/>
      <c r="D153" s="183"/>
      <c r="E153" s="183"/>
      <c r="F153" s="181"/>
      <c r="G153" s="181"/>
      <c r="H153" s="181"/>
      <c r="I153" s="181"/>
      <c r="J153" s="181"/>
    </row>
    <row r="154">
      <c r="A154" s="181"/>
      <c r="B154" s="181"/>
      <c r="C154" s="181"/>
      <c r="D154" s="183"/>
      <c r="E154" s="183"/>
      <c r="F154" s="181"/>
      <c r="G154" s="181"/>
      <c r="H154" s="181"/>
      <c r="I154" s="181"/>
      <c r="J154" s="181"/>
    </row>
    <row r="155">
      <c r="A155" s="181"/>
      <c r="B155" s="181"/>
      <c r="C155" s="181"/>
      <c r="D155" s="183"/>
      <c r="E155" s="183"/>
      <c r="F155" s="181"/>
      <c r="G155" s="181"/>
      <c r="H155" s="181"/>
      <c r="I155" s="181"/>
      <c r="J155" s="181"/>
    </row>
    <row r="156">
      <c r="A156" s="181"/>
      <c r="B156" s="181"/>
      <c r="C156" s="181"/>
      <c r="D156" s="183"/>
      <c r="E156" s="183"/>
      <c r="F156" s="181"/>
      <c r="G156" s="181"/>
      <c r="H156" s="181"/>
      <c r="I156" s="181"/>
      <c r="J156" s="181"/>
    </row>
    <row r="157">
      <c r="A157" s="181"/>
      <c r="B157" s="181"/>
      <c r="C157" s="181"/>
      <c r="D157" s="183"/>
      <c r="E157" s="183"/>
      <c r="F157" s="181"/>
      <c r="G157" s="181"/>
      <c r="H157" s="181"/>
      <c r="I157" s="375">
        <f t="shared" ref="I157:J157" si="6">I151+I132+I109+I92+I61+I36</f>
        <v>21642675</v>
      </c>
      <c r="J157" s="375">
        <f t="shared" si="6"/>
        <v>34047000</v>
      </c>
    </row>
    <row r="158">
      <c r="A158" s="181"/>
      <c r="B158" s="181"/>
      <c r="C158" s="181"/>
      <c r="D158" s="183"/>
      <c r="E158" s="183"/>
      <c r="F158" s="181"/>
      <c r="G158" s="181"/>
      <c r="H158" s="181"/>
      <c r="I158" s="184">
        <f>I157-14365427</f>
        <v>7277248</v>
      </c>
      <c r="J158" s="181"/>
    </row>
    <row r="159">
      <c r="A159" s="181"/>
      <c r="B159" s="181"/>
      <c r="C159" s="181"/>
      <c r="D159" s="183"/>
      <c r="E159" s="183"/>
      <c r="F159" s="181"/>
      <c r="G159" s="181"/>
      <c r="H159" s="181"/>
      <c r="I159" s="181"/>
      <c r="J159" s="184">
        <f>J157-14365427</f>
        <v>19681573</v>
      </c>
    </row>
    <row r="160">
      <c r="A160" s="181"/>
      <c r="B160" s="181"/>
      <c r="C160" s="181"/>
      <c r="D160" s="183"/>
      <c r="E160" s="183"/>
      <c r="F160" s="181"/>
      <c r="G160" s="181"/>
      <c r="H160" s="181"/>
      <c r="I160" s="181"/>
      <c r="J160" s="181"/>
    </row>
    <row r="161">
      <c r="A161" s="181"/>
      <c r="B161" s="181"/>
      <c r="C161" s="181"/>
      <c r="D161" s="183"/>
      <c r="E161" s="183"/>
      <c r="F161" s="181"/>
      <c r="G161" s="181"/>
      <c r="H161" s="181"/>
      <c r="I161" s="181"/>
      <c r="J161" s="181"/>
    </row>
    <row r="162">
      <c r="A162" s="181"/>
      <c r="B162" s="181"/>
      <c r="C162" s="181"/>
      <c r="D162" s="183"/>
      <c r="E162" s="183"/>
      <c r="F162" s="181"/>
      <c r="G162" s="181"/>
      <c r="H162" s="181"/>
      <c r="I162" s="181"/>
      <c r="J162" s="181"/>
    </row>
    <row r="163">
      <c r="A163" s="181"/>
      <c r="B163" s="181"/>
      <c r="C163" s="181"/>
      <c r="D163" s="183"/>
      <c r="E163" s="183"/>
      <c r="F163" s="181"/>
      <c r="G163" s="181"/>
      <c r="H163" s="181"/>
      <c r="I163" s="181"/>
      <c r="J163" s="181"/>
    </row>
    <row r="164">
      <c r="A164" s="181"/>
      <c r="B164" s="181"/>
      <c r="C164" s="181"/>
      <c r="D164" s="183"/>
      <c r="E164" s="183"/>
      <c r="F164" s="181"/>
      <c r="G164" s="181"/>
      <c r="H164" s="181"/>
      <c r="I164" s="181"/>
      <c r="J164" s="181"/>
    </row>
    <row r="165">
      <c r="A165" s="181"/>
      <c r="B165" s="181"/>
      <c r="C165" s="181"/>
      <c r="D165" s="183"/>
      <c r="E165" s="183"/>
      <c r="F165" s="181"/>
      <c r="G165" s="181"/>
      <c r="H165" s="181"/>
      <c r="I165" s="181"/>
      <c r="J165" s="181"/>
    </row>
    <row r="166">
      <c r="A166" s="181"/>
      <c r="B166" s="181"/>
      <c r="C166" s="181"/>
      <c r="D166" s="183"/>
      <c r="E166" s="183"/>
      <c r="F166" s="181"/>
      <c r="G166" s="181"/>
      <c r="H166" s="181"/>
      <c r="I166" s="181"/>
      <c r="J166" s="181"/>
    </row>
    <row r="167">
      <c r="A167" s="181"/>
      <c r="B167" s="181"/>
      <c r="C167" s="181"/>
      <c r="D167" s="183"/>
      <c r="E167" s="183"/>
      <c r="F167" s="181"/>
      <c r="G167" s="181"/>
      <c r="H167" s="181"/>
      <c r="I167" s="181"/>
      <c r="J167" s="181"/>
    </row>
    <row r="168">
      <c r="A168" s="181"/>
      <c r="B168" s="181"/>
      <c r="C168" s="181"/>
      <c r="D168" s="183"/>
      <c r="E168" s="183"/>
      <c r="F168" s="181"/>
      <c r="G168" s="181"/>
      <c r="H168" s="181"/>
      <c r="I168" s="181"/>
      <c r="J168" s="181"/>
    </row>
    <row r="169">
      <c r="A169" s="181"/>
      <c r="B169" s="181"/>
      <c r="C169" s="181"/>
      <c r="D169" s="183"/>
      <c r="E169" s="183"/>
      <c r="F169" s="181"/>
      <c r="G169" s="181"/>
      <c r="H169" s="181"/>
      <c r="I169" s="181"/>
      <c r="J169" s="181"/>
    </row>
    <row r="170">
      <c r="A170" s="181"/>
      <c r="B170" s="181"/>
      <c r="C170" s="181"/>
      <c r="D170" s="183"/>
      <c r="E170" s="183"/>
      <c r="F170" s="181"/>
      <c r="G170" s="181"/>
      <c r="H170" s="181"/>
      <c r="I170" s="181"/>
      <c r="J170" s="181"/>
    </row>
    <row r="171">
      <c r="A171" s="181"/>
      <c r="B171" s="181"/>
      <c r="C171" s="181"/>
      <c r="D171" s="183"/>
      <c r="E171" s="183"/>
      <c r="F171" s="181"/>
      <c r="G171" s="181"/>
      <c r="H171" s="181"/>
      <c r="I171" s="181"/>
      <c r="J171" s="181"/>
    </row>
    <row r="172">
      <c r="A172" s="181"/>
      <c r="B172" s="181"/>
      <c r="C172" s="181"/>
      <c r="D172" s="183"/>
      <c r="E172" s="183"/>
      <c r="F172" s="181"/>
      <c r="G172" s="181"/>
      <c r="H172" s="181"/>
      <c r="I172" s="181"/>
      <c r="J172" s="181"/>
    </row>
    <row r="173">
      <c r="A173" s="181"/>
      <c r="B173" s="181"/>
      <c r="C173" s="181"/>
      <c r="D173" s="183"/>
      <c r="E173" s="183"/>
      <c r="F173" s="181"/>
      <c r="G173" s="181"/>
      <c r="H173" s="181"/>
      <c r="I173" s="181"/>
      <c r="J173" s="181"/>
    </row>
    <row r="174">
      <c r="A174" s="181"/>
      <c r="B174" s="181"/>
      <c r="C174" s="181"/>
      <c r="D174" s="183"/>
      <c r="E174" s="183"/>
      <c r="F174" s="181"/>
      <c r="G174" s="181"/>
      <c r="H174" s="181"/>
      <c r="I174" s="181"/>
      <c r="J174" s="181"/>
    </row>
    <row r="175">
      <c r="A175" s="181"/>
      <c r="B175" s="181"/>
      <c r="C175" s="181"/>
      <c r="D175" s="183"/>
      <c r="E175" s="183"/>
      <c r="F175" s="181"/>
      <c r="G175" s="181"/>
      <c r="H175" s="181"/>
      <c r="I175" s="181"/>
      <c r="J175" s="181"/>
    </row>
    <row r="176">
      <c r="A176" s="181"/>
      <c r="B176" s="181"/>
      <c r="C176" s="181"/>
      <c r="D176" s="183"/>
      <c r="E176" s="183"/>
      <c r="F176" s="181"/>
      <c r="G176" s="181"/>
      <c r="H176" s="181"/>
      <c r="I176" s="181"/>
      <c r="J176" s="181"/>
    </row>
    <row r="177">
      <c r="A177" s="181"/>
      <c r="B177" s="181"/>
      <c r="C177" s="181"/>
      <c r="D177" s="183"/>
      <c r="E177" s="183"/>
      <c r="F177" s="181"/>
      <c r="G177" s="181"/>
      <c r="H177" s="181"/>
      <c r="I177" s="181"/>
      <c r="J177" s="181"/>
    </row>
    <row r="178">
      <c r="A178" s="181"/>
      <c r="B178" s="181"/>
      <c r="C178" s="181"/>
      <c r="D178" s="183"/>
      <c r="E178" s="183"/>
      <c r="F178" s="181"/>
      <c r="G178" s="181"/>
      <c r="H178" s="181"/>
      <c r="I178" s="181"/>
      <c r="J178" s="181"/>
    </row>
    <row r="179">
      <c r="A179" s="181"/>
      <c r="B179" s="181"/>
      <c r="C179" s="181"/>
      <c r="D179" s="183"/>
      <c r="E179" s="183"/>
      <c r="F179" s="181"/>
      <c r="G179" s="181"/>
      <c r="H179" s="181"/>
      <c r="I179" s="181"/>
      <c r="J179" s="181"/>
    </row>
    <row r="180">
      <c r="A180" s="181"/>
      <c r="B180" s="181"/>
      <c r="C180" s="181"/>
      <c r="D180" s="183"/>
      <c r="E180" s="183"/>
      <c r="F180" s="181"/>
      <c r="G180" s="181"/>
      <c r="H180" s="181"/>
      <c r="I180" s="181"/>
      <c r="J180" s="181"/>
    </row>
    <row r="181">
      <c r="A181" s="181"/>
      <c r="B181" s="181"/>
      <c r="C181" s="181"/>
      <c r="D181" s="183"/>
      <c r="E181" s="183"/>
      <c r="F181" s="181"/>
      <c r="G181" s="181"/>
      <c r="H181" s="181"/>
      <c r="I181" s="181"/>
      <c r="J181" s="181"/>
    </row>
    <row r="182">
      <c r="A182" s="181"/>
      <c r="B182" s="181"/>
      <c r="C182" s="181"/>
      <c r="D182" s="183"/>
      <c r="E182" s="183"/>
      <c r="F182" s="181"/>
      <c r="G182" s="181"/>
      <c r="H182" s="181"/>
      <c r="I182" s="181"/>
      <c r="J182" s="181"/>
    </row>
    <row r="183">
      <c r="A183" s="181"/>
      <c r="B183" s="181"/>
      <c r="C183" s="181"/>
      <c r="D183" s="183"/>
      <c r="E183" s="183"/>
      <c r="F183" s="181"/>
      <c r="G183" s="181"/>
      <c r="H183" s="181"/>
      <c r="I183" s="181"/>
      <c r="J183" s="181"/>
    </row>
    <row r="184">
      <c r="A184" s="181"/>
      <c r="B184" s="181"/>
      <c r="C184" s="181"/>
      <c r="D184" s="183"/>
      <c r="E184" s="183"/>
      <c r="F184" s="181"/>
      <c r="G184" s="181"/>
      <c r="H184" s="181"/>
      <c r="I184" s="181"/>
      <c r="J184" s="181"/>
    </row>
    <row r="185">
      <c r="A185" s="181"/>
      <c r="B185" s="181"/>
      <c r="C185" s="181"/>
      <c r="D185" s="183"/>
      <c r="E185" s="183"/>
      <c r="F185" s="181"/>
      <c r="G185" s="181"/>
      <c r="H185" s="181"/>
      <c r="I185" s="181"/>
      <c r="J185" s="181"/>
    </row>
    <row r="186">
      <c r="A186" s="181"/>
      <c r="B186" s="181"/>
      <c r="C186" s="181"/>
      <c r="D186" s="183"/>
      <c r="E186" s="183"/>
      <c r="F186" s="181"/>
      <c r="G186" s="181"/>
      <c r="H186" s="181"/>
      <c r="I186" s="181"/>
      <c r="J186" s="181"/>
    </row>
    <row r="187">
      <c r="A187" s="181"/>
      <c r="B187" s="181"/>
      <c r="C187" s="181"/>
      <c r="D187" s="183"/>
      <c r="E187" s="183"/>
      <c r="F187" s="181"/>
      <c r="G187" s="181"/>
      <c r="H187" s="181"/>
      <c r="I187" s="181"/>
      <c r="J187" s="181"/>
    </row>
    <row r="188">
      <c r="A188" s="181"/>
      <c r="B188" s="181"/>
      <c r="C188" s="181"/>
      <c r="D188" s="183"/>
      <c r="E188" s="183"/>
      <c r="F188" s="181"/>
      <c r="G188" s="181"/>
      <c r="H188" s="181"/>
      <c r="I188" s="181"/>
      <c r="J188" s="181"/>
    </row>
    <row r="189">
      <c r="A189" s="181"/>
      <c r="B189" s="181"/>
      <c r="C189" s="181"/>
      <c r="D189" s="183"/>
      <c r="E189" s="183"/>
      <c r="F189" s="181"/>
      <c r="G189" s="181"/>
      <c r="H189" s="181"/>
      <c r="I189" s="181"/>
      <c r="J189" s="181"/>
    </row>
    <row r="190">
      <c r="A190" s="181"/>
      <c r="B190" s="181"/>
      <c r="C190" s="181"/>
      <c r="D190" s="183"/>
      <c r="E190" s="183"/>
      <c r="F190" s="181"/>
      <c r="G190" s="181"/>
      <c r="H190" s="181"/>
      <c r="I190" s="181"/>
      <c r="J190" s="181"/>
    </row>
    <row r="191">
      <c r="A191" s="181"/>
      <c r="B191" s="181"/>
      <c r="C191" s="181"/>
      <c r="D191" s="183"/>
      <c r="E191" s="183"/>
      <c r="F191" s="181"/>
      <c r="G191" s="181"/>
      <c r="H191" s="181"/>
      <c r="I191" s="181"/>
      <c r="J191" s="181"/>
    </row>
    <row r="192">
      <c r="A192" s="181"/>
      <c r="B192" s="181"/>
      <c r="C192" s="181"/>
      <c r="D192" s="183"/>
      <c r="E192" s="183"/>
      <c r="F192" s="181"/>
      <c r="G192" s="181"/>
      <c r="H192" s="181"/>
      <c r="I192" s="181"/>
      <c r="J192" s="181"/>
    </row>
    <row r="193">
      <c r="A193" s="181"/>
      <c r="B193" s="181"/>
      <c r="C193" s="181"/>
      <c r="D193" s="183"/>
      <c r="E193" s="183"/>
      <c r="F193" s="181"/>
      <c r="G193" s="181"/>
      <c r="H193" s="181"/>
      <c r="I193" s="181"/>
      <c r="J193" s="181"/>
    </row>
    <row r="194">
      <c r="A194" s="181"/>
      <c r="B194" s="181"/>
      <c r="C194" s="181"/>
      <c r="D194" s="183"/>
      <c r="E194" s="183"/>
      <c r="F194" s="181"/>
      <c r="G194" s="181"/>
      <c r="H194" s="181"/>
      <c r="I194" s="181"/>
      <c r="J194" s="181"/>
    </row>
    <row r="195">
      <c r="A195" s="181"/>
      <c r="B195" s="181"/>
      <c r="C195" s="181"/>
      <c r="D195" s="183"/>
      <c r="E195" s="183"/>
      <c r="F195" s="181"/>
      <c r="G195" s="181"/>
      <c r="H195" s="181"/>
      <c r="I195" s="181"/>
      <c r="J195" s="181"/>
    </row>
    <row r="196">
      <c r="A196" s="181"/>
      <c r="B196" s="181"/>
      <c r="C196" s="181"/>
      <c r="D196" s="183"/>
      <c r="E196" s="183"/>
      <c r="F196" s="181"/>
      <c r="G196" s="181"/>
      <c r="H196" s="181"/>
      <c r="I196" s="181"/>
      <c r="J196" s="181"/>
    </row>
    <row r="197">
      <c r="A197" s="181"/>
      <c r="B197" s="181"/>
      <c r="C197" s="181"/>
      <c r="D197" s="183"/>
      <c r="E197" s="183"/>
      <c r="F197" s="181"/>
      <c r="G197" s="181"/>
      <c r="H197" s="181"/>
      <c r="I197" s="181"/>
      <c r="J197" s="181"/>
    </row>
    <row r="198">
      <c r="A198" s="181"/>
      <c r="B198" s="181"/>
      <c r="C198" s="181"/>
      <c r="D198" s="183"/>
      <c r="E198" s="183"/>
      <c r="F198" s="181"/>
      <c r="G198" s="181"/>
      <c r="H198" s="181"/>
      <c r="I198" s="181"/>
      <c r="J198" s="181"/>
    </row>
    <row r="199">
      <c r="A199" s="181"/>
      <c r="B199" s="181"/>
      <c r="C199" s="181"/>
      <c r="D199" s="183"/>
      <c r="E199" s="183"/>
      <c r="F199" s="181"/>
      <c r="G199" s="181"/>
      <c r="H199" s="181"/>
      <c r="I199" s="181"/>
      <c r="J199" s="181"/>
    </row>
    <row r="200">
      <c r="A200" s="181"/>
      <c r="B200" s="181"/>
      <c r="C200" s="181"/>
      <c r="D200" s="183"/>
      <c r="E200" s="183"/>
      <c r="F200" s="181"/>
      <c r="G200" s="181"/>
      <c r="H200" s="181"/>
      <c r="I200" s="181"/>
      <c r="J200" s="181"/>
    </row>
    <row r="201">
      <c r="A201" s="181"/>
      <c r="B201" s="181"/>
      <c r="C201" s="181"/>
      <c r="D201" s="183"/>
      <c r="E201" s="183"/>
      <c r="F201" s="181"/>
      <c r="G201" s="181"/>
      <c r="H201" s="181"/>
      <c r="I201" s="181"/>
      <c r="J201" s="181"/>
    </row>
    <row r="202">
      <c r="A202" s="181"/>
      <c r="B202" s="181"/>
      <c r="C202" s="181"/>
      <c r="D202" s="183"/>
      <c r="E202" s="183"/>
      <c r="F202" s="181"/>
      <c r="G202" s="181"/>
      <c r="H202" s="181"/>
      <c r="I202" s="181"/>
      <c r="J202" s="181"/>
    </row>
    <row r="203">
      <c r="A203" s="181"/>
      <c r="B203" s="181"/>
      <c r="C203" s="181"/>
      <c r="D203" s="183"/>
      <c r="E203" s="183"/>
      <c r="F203" s="181"/>
      <c r="G203" s="181"/>
      <c r="H203" s="181"/>
      <c r="I203" s="181"/>
      <c r="J203" s="181"/>
    </row>
    <row r="204">
      <c r="A204" s="181"/>
      <c r="B204" s="181"/>
      <c r="C204" s="181"/>
      <c r="D204" s="183"/>
      <c r="E204" s="183"/>
      <c r="F204" s="181"/>
      <c r="G204" s="181"/>
      <c r="H204" s="181"/>
      <c r="I204" s="181"/>
      <c r="J204" s="181"/>
    </row>
    <row r="205">
      <c r="A205" s="181"/>
      <c r="B205" s="181"/>
      <c r="C205" s="181"/>
      <c r="D205" s="183"/>
      <c r="E205" s="183"/>
      <c r="F205" s="181"/>
      <c r="G205" s="181"/>
      <c r="H205" s="181"/>
      <c r="I205" s="181"/>
      <c r="J205" s="181"/>
    </row>
    <row r="206">
      <c r="A206" s="181"/>
      <c r="B206" s="181"/>
      <c r="C206" s="181"/>
      <c r="D206" s="183"/>
      <c r="E206" s="183"/>
      <c r="F206" s="181"/>
      <c r="G206" s="181"/>
      <c r="H206" s="181"/>
      <c r="I206" s="181"/>
      <c r="J206" s="181"/>
    </row>
    <row r="207">
      <c r="A207" s="181"/>
      <c r="B207" s="181"/>
      <c r="C207" s="181"/>
      <c r="D207" s="183"/>
      <c r="E207" s="183"/>
      <c r="F207" s="181"/>
      <c r="G207" s="181"/>
      <c r="H207" s="181"/>
      <c r="I207" s="181"/>
      <c r="J207" s="181"/>
    </row>
    <row r="208">
      <c r="A208" s="181"/>
      <c r="B208" s="181"/>
      <c r="C208" s="181"/>
      <c r="D208" s="183"/>
      <c r="E208" s="183"/>
      <c r="F208" s="181"/>
      <c r="G208" s="181"/>
      <c r="H208" s="181"/>
      <c r="I208" s="181"/>
      <c r="J208" s="181"/>
    </row>
    <row r="209">
      <c r="A209" s="181"/>
      <c r="B209" s="181"/>
      <c r="C209" s="181"/>
      <c r="D209" s="183"/>
      <c r="E209" s="183"/>
      <c r="F209" s="181"/>
      <c r="G209" s="181"/>
      <c r="H209" s="181"/>
      <c r="I209" s="181"/>
      <c r="J209" s="181"/>
    </row>
    <row r="210">
      <c r="A210" s="181"/>
      <c r="B210" s="181"/>
      <c r="C210" s="181"/>
      <c r="D210" s="183"/>
      <c r="E210" s="183"/>
      <c r="F210" s="181"/>
      <c r="G210" s="181"/>
      <c r="H210" s="181"/>
      <c r="I210" s="181"/>
      <c r="J210" s="181"/>
    </row>
    <row r="211">
      <c r="A211" s="181"/>
      <c r="B211" s="181"/>
      <c r="C211" s="181"/>
      <c r="D211" s="183"/>
      <c r="E211" s="183"/>
      <c r="F211" s="181"/>
      <c r="G211" s="181"/>
      <c r="H211" s="181"/>
      <c r="I211" s="181"/>
      <c r="J211" s="181"/>
    </row>
    <row r="212">
      <c r="A212" s="181"/>
      <c r="B212" s="181"/>
      <c r="C212" s="181"/>
      <c r="D212" s="183"/>
      <c r="E212" s="183"/>
      <c r="F212" s="181"/>
      <c r="G212" s="181"/>
      <c r="H212" s="181"/>
      <c r="I212" s="181"/>
      <c r="J212" s="181"/>
    </row>
    <row r="213">
      <c r="A213" s="181"/>
      <c r="B213" s="181"/>
      <c r="C213" s="181"/>
      <c r="D213" s="183"/>
      <c r="E213" s="183"/>
      <c r="F213" s="181"/>
      <c r="G213" s="181"/>
      <c r="H213" s="181"/>
      <c r="I213" s="181"/>
      <c r="J213" s="181"/>
    </row>
    <row r="214">
      <c r="A214" s="181"/>
      <c r="B214" s="181"/>
      <c r="C214" s="181"/>
      <c r="D214" s="183"/>
      <c r="E214" s="183"/>
      <c r="F214" s="181"/>
      <c r="G214" s="181"/>
      <c r="H214" s="181"/>
      <c r="I214" s="181"/>
      <c r="J214" s="181"/>
    </row>
    <row r="215">
      <c r="A215" s="181"/>
      <c r="B215" s="181"/>
      <c r="C215" s="181"/>
      <c r="D215" s="183"/>
      <c r="E215" s="183"/>
      <c r="F215" s="181"/>
      <c r="G215" s="181"/>
      <c r="H215" s="181"/>
      <c r="I215" s="181"/>
      <c r="J215" s="181"/>
    </row>
    <row r="216">
      <c r="A216" s="181"/>
      <c r="B216" s="181"/>
      <c r="C216" s="181"/>
      <c r="D216" s="183"/>
      <c r="E216" s="183"/>
      <c r="F216" s="181"/>
      <c r="G216" s="181"/>
      <c r="H216" s="181"/>
      <c r="I216" s="181"/>
      <c r="J216" s="181"/>
    </row>
    <row r="217">
      <c r="A217" s="181"/>
      <c r="B217" s="181"/>
      <c r="C217" s="181"/>
      <c r="D217" s="183"/>
      <c r="E217" s="183"/>
      <c r="F217" s="181"/>
      <c r="G217" s="181"/>
      <c r="H217" s="181"/>
      <c r="I217" s="181"/>
      <c r="J217" s="181"/>
    </row>
    <row r="218">
      <c r="A218" s="181"/>
      <c r="B218" s="181"/>
      <c r="C218" s="181"/>
      <c r="D218" s="183"/>
      <c r="E218" s="183"/>
      <c r="F218" s="181"/>
      <c r="G218" s="181"/>
      <c r="H218" s="181"/>
      <c r="I218" s="181"/>
      <c r="J218" s="181"/>
    </row>
    <row r="219">
      <c r="A219" s="181"/>
      <c r="B219" s="181"/>
      <c r="C219" s="181"/>
      <c r="D219" s="183"/>
      <c r="E219" s="183"/>
      <c r="F219" s="181"/>
      <c r="G219" s="181"/>
      <c r="H219" s="181"/>
      <c r="I219" s="181"/>
      <c r="J219" s="181"/>
    </row>
    <row r="220">
      <c r="A220" s="181"/>
      <c r="B220" s="181"/>
      <c r="C220" s="181"/>
      <c r="D220" s="183"/>
      <c r="E220" s="183"/>
      <c r="F220" s="181"/>
      <c r="G220" s="181"/>
      <c r="H220" s="181"/>
      <c r="I220" s="181"/>
      <c r="J220" s="181"/>
    </row>
    <row r="221">
      <c r="A221" s="181"/>
      <c r="B221" s="181"/>
      <c r="C221" s="181"/>
      <c r="D221" s="183"/>
      <c r="E221" s="183"/>
      <c r="F221" s="181"/>
      <c r="G221" s="181"/>
      <c r="H221" s="181"/>
      <c r="I221" s="181"/>
      <c r="J221" s="181"/>
    </row>
    <row r="222">
      <c r="A222" s="181"/>
      <c r="B222" s="181"/>
      <c r="C222" s="181"/>
      <c r="D222" s="183"/>
      <c r="E222" s="183"/>
      <c r="F222" s="181"/>
      <c r="G222" s="181"/>
      <c r="H222" s="181"/>
      <c r="I222" s="181"/>
      <c r="J222" s="181"/>
    </row>
    <row r="223">
      <c r="A223" s="181"/>
      <c r="B223" s="181"/>
      <c r="C223" s="181"/>
      <c r="D223" s="183"/>
      <c r="E223" s="183"/>
      <c r="F223" s="181"/>
      <c r="G223" s="181"/>
      <c r="H223" s="181"/>
      <c r="I223" s="181"/>
      <c r="J223" s="181"/>
    </row>
    <row r="224">
      <c r="A224" s="181"/>
      <c r="B224" s="181"/>
      <c r="C224" s="181"/>
      <c r="D224" s="183"/>
      <c r="E224" s="183"/>
      <c r="F224" s="181"/>
      <c r="G224" s="181"/>
      <c r="H224" s="181"/>
      <c r="I224" s="181"/>
      <c r="J224" s="181"/>
    </row>
    <row r="225">
      <c r="A225" s="181"/>
      <c r="B225" s="181"/>
      <c r="C225" s="181"/>
      <c r="D225" s="183"/>
      <c r="E225" s="183"/>
      <c r="F225" s="181"/>
      <c r="G225" s="181"/>
      <c r="H225" s="181"/>
      <c r="I225" s="181"/>
      <c r="J225" s="181"/>
    </row>
    <row r="226">
      <c r="A226" s="181"/>
      <c r="B226" s="181"/>
      <c r="C226" s="181"/>
      <c r="D226" s="183"/>
      <c r="E226" s="183"/>
      <c r="F226" s="181"/>
      <c r="G226" s="181"/>
      <c r="H226" s="181"/>
      <c r="I226" s="181"/>
      <c r="J226" s="181"/>
    </row>
    <row r="227">
      <c r="A227" s="181"/>
      <c r="B227" s="181"/>
      <c r="C227" s="181"/>
      <c r="D227" s="183"/>
      <c r="E227" s="183"/>
      <c r="F227" s="181"/>
      <c r="G227" s="181"/>
      <c r="H227" s="181"/>
      <c r="I227" s="181"/>
      <c r="J227" s="181"/>
    </row>
    <row r="228">
      <c r="A228" s="181"/>
      <c r="B228" s="181"/>
      <c r="C228" s="181"/>
      <c r="D228" s="183"/>
      <c r="E228" s="183"/>
      <c r="F228" s="181"/>
      <c r="G228" s="181"/>
      <c r="H228" s="181"/>
      <c r="I228" s="181"/>
      <c r="J228" s="181"/>
    </row>
    <row r="229">
      <c r="A229" s="181"/>
      <c r="B229" s="181"/>
      <c r="C229" s="181"/>
      <c r="D229" s="183"/>
      <c r="E229" s="183"/>
      <c r="F229" s="181"/>
      <c r="G229" s="181"/>
      <c r="H229" s="181"/>
      <c r="I229" s="181"/>
      <c r="J229" s="181"/>
    </row>
    <row r="230">
      <c r="A230" s="181"/>
      <c r="B230" s="181"/>
      <c r="C230" s="181"/>
      <c r="D230" s="183"/>
      <c r="E230" s="183"/>
      <c r="F230" s="181"/>
      <c r="G230" s="181"/>
      <c r="H230" s="181"/>
      <c r="I230" s="181"/>
      <c r="J230" s="181"/>
    </row>
    <row r="231">
      <c r="A231" s="181"/>
      <c r="B231" s="181"/>
      <c r="C231" s="181"/>
      <c r="D231" s="183"/>
      <c r="E231" s="183"/>
      <c r="F231" s="181"/>
      <c r="G231" s="181"/>
      <c r="H231" s="181"/>
      <c r="I231" s="181"/>
      <c r="J231" s="181"/>
    </row>
    <row r="232">
      <c r="A232" s="181"/>
      <c r="B232" s="181"/>
      <c r="C232" s="181"/>
      <c r="D232" s="183"/>
      <c r="E232" s="183"/>
      <c r="F232" s="181"/>
      <c r="G232" s="181"/>
      <c r="H232" s="181"/>
      <c r="I232" s="181"/>
      <c r="J232" s="181"/>
    </row>
    <row r="233">
      <c r="A233" s="181"/>
      <c r="B233" s="181"/>
      <c r="C233" s="181"/>
      <c r="D233" s="183"/>
      <c r="E233" s="183"/>
      <c r="F233" s="181"/>
      <c r="G233" s="181"/>
      <c r="H233" s="181"/>
      <c r="I233" s="181"/>
      <c r="J233" s="181"/>
    </row>
    <row r="234">
      <c r="A234" s="181"/>
      <c r="B234" s="181"/>
      <c r="C234" s="181"/>
      <c r="D234" s="183"/>
      <c r="E234" s="183"/>
      <c r="F234" s="181"/>
      <c r="G234" s="181"/>
      <c r="H234" s="181"/>
      <c r="I234" s="181"/>
      <c r="J234" s="181"/>
    </row>
    <row r="235">
      <c r="A235" s="181"/>
      <c r="B235" s="181"/>
      <c r="C235" s="181"/>
      <c r="D235" s="183"/>
      <c r="E235" s="183"/>
      <c r="F235" s="181"/>
      <c r="G235" s="181"/>
      <c r="H235" s="181"/>
      <c r="I235" s="181"/>
      <c r="J235" s="181"/>
    </row>
    <row r="236">
      <c r="A236" s="181"/>
      <c r="B236" s="181"/>
      <c r="C236" s="181"/>
      <c r="D236" s="183"/>
      <c r="E236" s="183"/>
      <c r="F236" s="181"/>
      <c r="G236" s="181"/>
      <c r="H236" s="181"/>
      <c r="I236" s="181"/>
      <c r="J236" s="181"/>
    </row>
    <row r="237">
      <c r="A237" s="181"/>
      <c r="B237" s="181"/>
      <c r="C237" s="181"/>
      <c r="D237" s="183"/>
      <c r="E237" s="183"/>
      <c r="F237" s="181"/>
      <c r="G237" s="181"/>
      <c r="H237" s="181"/>
      <c r="I237" s="181"/>
      <c r="J237" s="181"/>
    </row>
    <row r="238">
      <c r="A238" s="181"/>
      <c r="B238" s="181"/>
      <c r="C238" s="181"/>
      <c r="D238" s="183"/>
      <c r="E238" s="183"/>
      <c r="F238" s="181"/>
      <c r="G238" s="181"/>
      <c r="H238" s="181"/>
      <c r="I238" s="181"/>
      <c r="J238" s="181"/>
    </row>
    <row r="239">
      <c r="A239" s="181"/>
      <c r="B239" s="181"/>
      <c r="C239" s="181"/>
      <c r="D239" s="183"/>
      <c r="E239" s="183"/>
      <c r="F239" s="181"/>
      <c r="G239" s="181"/>
      <c r="H239" s="181"/>
      <c r="I239" s="181"/>
      <c r="J239" s="181"/>
    </row>
    <row r="240">
      <c r="A240" s="181"/>
      <c r="B240" s="181"/>
      <c r="C240" s="181"/>
      <c r="D240" s="183"/>
      <c r="E240" s="183"/>
      <c r="F240" s="181"/>
      <c r="G240" s="181"/>
      <c r="H240" s="181"/>
      <c r="I240" s="181"/>
      <c r="J240" s="181"/>
    </row>
    <row r="241">
      <c r="A241" s="181"/>
      <c r="B241" s="181"/>
      <c r="C241" s="181"/>
      <c r="D241" s="183"/>
      <c r="E241" s="183"/>
      <c r="F241" s="181"/>
      <c r="G241" s="181"/>
      <c r="H241" s="181"/>
      <c r="I241" s="181"/>
      <c r="J241" s="181"/>
    </row>
    <row r="242">
      <c r="A242" s="181"/>
      <c r="B242" s="181"/>
      <c r="C242" s="181"/>
      <c r="D242" s="183"/>
      <c r="E242" s="183"/>
      <c r="F242" s="181"/>
      <c r="G242" s="181"/>
      <c r="H242" s="181"/>
      <c r="I242" s="181"/>
      <c r="J242" s="181"/>
    </row>
    <row r="243">
      <c r="A243" s="181"/>
      <c r="B243" s="181"/>
      <c r="C243" s="181"/>
      <c r="D243" s="183"/>
      <c r="E243" s="183"/>
      <c r="F243" s="181"/>
      <c r="G243" s="181"/>
      <c r="H243" s="181"/>
      <c r="I243" s="181"/>
      <c r="J243" s="181"/>
    </row>
    <row r="244">
      <c r="A244" s="181"/>
      <c r="B244" s="181"/>
      <c r="C244" s="181"/>
      <c r="D244" s="183"/>
      <c r="E244" s="183"/>
      <c r="F244" s="181"/>
      <c r="G244" s="181"/>
      <c r="H244" s="181"/>
      <c r="I244" s="181"/>
      <c r="J244" s="181"/>
    </row>
    <row r="245">
      <c r="A245" s="181"/>
      <c r="B245" s="181"/>
      <c r="C245" s="181"/>
      <c r="D245" s="183"/>
      <c r="E245" s="183"/>
      <c r="F245" s="181"/>
      <c r="G245" s="181"/>
      <c r="H245" s="181"/>
      <c r="I245" s="181"/>
      <c r="J245" s="181"/>
    </row>
    <row r="246">
      <c r="A246" s="181"/>
      <c r="B246" s="181"/>
      <c r="C246" s="181"/>
      <c r="D246" s="183"/>
      <c r="E246" s="183"/>
      <c r="F246" s="181"/>
      <c r="G246" s="181"/>
      <c r="H246" s="181"/>
      <c r="I246" s="181"/>
      <c r="J246" s="181"/>
    </row>
    <row r="247">
      <c r="A247" s="181"/>
      <c r="B247" s="181"/>
      <c r="C247" s="181"/>
      <c r="D247" s="183"/>
      <c r="E247" s="183"/>
      <c r="F247" s="181"/>
      <c r="G247" s="181"/>
      <c r="H247" s="181"/>
      <c r="I247" s="181"/>
      <c r="J247" s="181"/>
    </row>
    <row r="248">
      <c r="A248" s="181"/>
      <c r="B248" s="181"/>
      <c r="C248" s="181"/>
      <c r="D248" s="183"/>
      <c r="E248" s="183"/>
      <c r="F248" s="181"/>
      <c r="G248" s="181"/>
      <c r="H248" s="181"/>
      <c r="I248" s="181"/>
      <c r="J248" s="181"/>
    </row>
    <row r="249">
      <c r="A249" s="181"/>
      <c r="B249" s="181"/>
      <c r="C249" s="181"/>
      <c r="D249" s="183"/>
      <c r="E249" s="183"/>
      <c r="F249" s="181"/>
      <c r="G249" s="181"/>
      <c r="H249" s="181"/>
      <c r="I249" s="181"/>
      <c r="J249" s="181"/>
    </row>
    <row r="250">
      <c r="A250" s="181"/>
      <c r="B250" s="181"/>
      <c r="C250" s="181"/>
      <c r="D250" s="183"/>
      <c r="E250" s="183"/>
      <c r="F250" s="181"/>
      <c r="G250" s="181"/>
      <c r="H250" s="181"/>
      <c r="I250" s="181"/>
      <c r="J250" s="181"/>
    </row>
    <row r="251">
      <c r="A251" s="181"/>
      <c r="B251" s="181"/>
      <c r="C251" s="181"/>
      <c r="D251" s="183"/>
      <c r="E251" s="183"/>
      <c r="F251" s="181"/>
      <c r="G251" s="181"/>
      <c r="H251" s="181"/>
      <c r="I251" s="181"/>
      <c r="J251" s="181"/>
    </row>
    <row r="252">
      <c r="A252" s="181"/>
      <c r="B252" s="181"/>
      <c r="C252" s="181"/>
      <c r="D252" s="183"/>
      <c r="E252" s="183"/>
      <c r="F252" s="181"/>
      <c r="G252" s="181"/>
      <c r="H252" s="181"/>
      <c r="I252" s="181"/>
      <c r="J252" s="181"/>
    </row>
    <row r="253">
      <c r="A253" s="181"/>
      <c r="B253" s="181"/>
      <c r="C253" s="181"/>
      <c r="D253" s="183"/>
      <c r="E253" s="183"/>
      <c r="F253" s="181"/>
      <c r="G253" s="181"/>
      <c r="H253" s="181"/>
      <c r="I253" s="181"/>
      <c r="J253" s="181"/>
    </row>
    <row r="254">
      <c r="A254" s="181"/>
      <c r="B254" s="181"/>
      <c r="C254" s="181"/>
      <c r="D254" s="183"/>
      <c r="E254" s="183"/>
      <c r="F254" s="181"/>
      <c r="G254" s="181"/>
      <c r="H254" s="181"/>
      <c r="I254" s="181"/>
      <c r="J254" s="181"/>
    </row>
    <row r="255">
      <c r="A255" s="181"/>
      <c r="B255" s="181"/>
      <c r="C255" s="181"/>
      <c r="D255" s="183"/>
      <c r="E255" s="183"/>
      <c r="F255" s="181"/>
      <c r="G255" s="181"/>
      <c r="H255" s="181"/>
      <c r="I255" s="181"/>
      <c r="J255" s="181"/>
    </row>
    <row r="256">
      <c r="A256" s="181"/>
      <c r="B256" s="181"/>
      <c r="C256" s="181"/>
      <c r="D256" s="183"/>
      <c r="E256" s="183"/>
      <c r="F256" s="181"/>
      <c r="G256" s="181"/>
      <c r="H256" s="181"/>
      <c r="I256" s="181"/>
      <c r="J256" s="181"/>
    </row>
    <row r="257">
      <c r="A257" s="181"/>
      <c r="B257" s="181"/>
      <c r="C257" s="181"/>
      <c r="D257" s="183"/>
      <c r="E257" s="183"/>
      <c r="F257" s="181"/>
      <c r="G257" s="181"/>
      <c r="H257" s="181"/>
      <c r="I257" s="181"/>
      <c r="J257" s="181"/>
    </row>
    <row r="258">
      <c r="A258" s="181"/>
      <c r="B258" s="181"/>
      <c r="C258" s="181"/>
      <c r="D258" s="183"/>
      <c r="E258" s="183"/>
      <c r="F258" s="181"/>
      <c r="G258" s="181"/>
      <c r="H258" s="181"/>
      <c r="I258" s="181"/>
      <c r="J258" s="181"/>
    </row>
    <row r="259">
      <c r="A259" s="181"/>
      <c r="B259" s="181"/>
      <c r="C259" s="181"/>
      <c r="D259" s="183"/>
      <c r="E259" s="183"/>
      <c r="F259" s="181"/>
      <c r="G259" s="181"/>
      <c r="H259" s="181"/>
      <c r="I259" s="181"/>
      <c r="J259" s="181"/>
    </row>
    <row r="260">
      <c r="A260" s="181"/>
      <c r="B260" s="181"/>
      <c r="C260" s="181"/>
      <c r="D260" s="183"/>
      <c r="E260" s="183"/>
      <c r="F260" s="181"/>
      <c r="G260" s="181"/>
      <c r="H260" s="181"/>
      <c r="I260" s="181"/>
      <c r="J260" s="181"/>
    </row>
    <row r="261">
      <c r="A261" s="181"/>
      <c r="B261" s="181"/>
      <c r="C261" s="181"/>
      <c r="D261" s="183"/>
      <c r="E261" s="183"/>
      <c r="F261" s="181"/>
      <c r="G261" s="181"/>
      <c r="H261" s="181"/>
      <c r="I261" s="181"/>
      <c r="J261" s="181"/>
    </row>
    <row r="262">
      <c r="A262" s="181"/>
      <c r="B262" s="181"/>
      <c r="C262" s="181"/>
      <c r="D262" s="183"/>
      <c r="E262" s="183"/>
      <c r="F262" s="181"/>
      <c r="G262" s="181"/>
      <c r="H262" s="181"/>
      <c r="I262" s="181"/>
      <c r="J262" s="181"/>
    </row>
    <row r="263">
      <c r="A263" s="181"/>
      <c r="B263" s="181"/>
      <c r="C263" s="181"/>
      <c r="D263" s="183"/>
      <c r="E263" s="183"/>
      <c r="F263" s="181"/>
      <c r="G263" s="181"/>
      <c r="H263" s="181"/>
      <c r="I263" s="181"/>
      <c r="J263" s="181"/>
    </row>
    <row r="264">
      <c r="A264" s="181"/>
      <c r="B264" s="181"/>
      <c r="C264" s="181"/>
      <c r="D264" s="183"/>
      <c r="E264" s="183"/>
      <c r="F264" s="181"/>
      <c r="G264" s="181"/>
      <c r="H264" s="181"/>
      <c r="I264" s="181"/>
      <c r="J264" s="181"/>
    </row>
    <row r="265">
      <c r="A265" s="181"/>
      <c r="B265" s="181"/>
      <c r="C265" s="181"/>
      <c r="D265" s="183"/>
      <c r="E265" s="183"/>
      <c r="F265" s="181"/>
      <c r="G265" s="181"/>
      <c r="H265" s="181"/>
      <c r="I265" s="181"/>
      <c r="J265" s="181"/>
    </row>
    <row r="266">
      <c r="A266" s="181"/>
      <c r="B266" s="181"/>
      <c r="C266" s="181"/>
      <c r="D266" s="183"/>
      <c r="E266" s="183"/>
      <c r="F266" s="181"/>
      <c r="G266" s="181"/>
      <c r="H266" s="181"/>
      <c r="I266" s="181"/>
      <c r="J266" s="181"/>
    </row>
    <row r="267">
      <c r="A267" s="181"/>
      <c r="B267" s="181"/>
      <c r="C267" s="181"/>
      <c r="D267" s="183"/>
      <c r="E267" s="183"/>
      <c r="F267" s="181"/>
      <c r="G267" s="181"/>
      <c r="H267" s="181"/>
      <c r="I267" s="181"/>
      <c r="J267" s="181"/>
    </row>
    <row r="268">
      <c r="A268" s="181"/>
      <c r="B268" s="181"/>
      <c r="C268" s="181"/>
      <c r="D268" s="183"/>
      <c r="E268" s="183"/>
      <c r="F268" s="181"/>
      <c r="G268" s="181"/>
      <c r="H268" s="181"/>
      <c r="I268" s="181"/>
      <c r="J268" s="181"/>
    </row>
    <row r="269">
      <c r="A269" s="181"/>
      <c r="B269" s="181"/>
      <c r="C269" s="181"/>
      <c r="D269" s="183"/>
      <c r="E269" s="183"/>
      <c r="F269" s="181"/>
      <c r="G269" s="181"/>
      <c r="H269" s="181"/>
      <c r="I269" s="181"/>
      <c r="J269" s="181"/>
    </row>
    <row r="270">
      <c r="A270" s="181"/>
      <c r="B270" s="181"/>
      <c r="C270" s="181"/>
      <c r="D270" s="183"/>
      <c r="E270" s="183"/>
      <c r="F270" s="181"/>
      <c r="G270" s="181"/>
      <c r="H270" s="181"/>
      <c r="I270" s="181"/>
      <c r="J270" s="181"/>
    </row>
    <row r="271">
      <c r="A271" s="181"/>
      <c r="B271" s="181"/>
      <c r="C271" s="181"/>
      <c r="D271" s="183"/>
      <c r="E271" s="183"/>
      <c r="F271" s="181"/>
      <c r="G271" s="181"/>
      <c r="H271" s="181"/>
      <c r="I271" s="181"/>
      <c r="J271" s="181"/>
    </row>
    <row r="272">
      <c r="A272" s="181"/>
      <c r="B272" s="181"/>
      <c r="C272" s="181"/>
      <c r="D272" s="183"/>
      <c r="E272" s="183"/>
      <c r="F272" s="181"/>
      <c r="G272" s="181"/>
      <c r="H272" s="181"/>
      <c r="I272" s="181"/>
      <c r="J272" s="181"/>
    </row>
    <row r="273">
      <c r="A273" s="181"/>
      <c r="B273" s="181"/>
      <c r="C273" s="181"/>
      <c r="D273" s="183"/>
      <c r="E273" s="183"/>
      <c r="F273" s="181"/>
      <c r="G273" s="181"/>
      <c r="H273" s="181"/>
      <c r="I273" s="181"/>
      <c r="J273" s="181"/>
    </row>
    <row r="274">
      <c r="A274" s="181"/>
      <c r="B274" s="181"/>
      <c r="C274" s="181"/>
      <c r="D274" s="183"/>
      <c r="E274" s="183"/>
      <c r="F274" s="181"/>
      <c r="G274" s="181"/>
      <c r="H274" s="181"/>
      <c r="I274" s="181"/>
      <c r="J274" s="181"/>
    </row>
    <row r="275">
      <c r="A275" s="181"/>
      <c r="B275" s="181"/>
      <c r="C275" s="181"/>
      <c r="D275" s="183"/>
      <c r="E275" s="183"/>
      <c r="F275" s="181"/>
      <c r="G275" s="181"/>
      <c r="H275" s="181"/>
      <c r="I275" s="181"/>
      <c r="J275" s="181"/>
    </row>
    <row r="276">
      <c r="A276" s="181"/>
      <c r="B276" s="181"/>
      <c r="C276" s="181"/>
      <c r="D276" s="183"/>
      <c r="E276" s="183"/>
      <c r="F276" s="181"/>
      <c r="G276" s="181"/>
      <c r="H276" s="181"/>
      <c r="I276" s="181"/>
      <c r="J276" s="181"/>
    </row>
    <row r="277">
      <c r="A277" s="181"/>
      <c r="B277" s="181"/>
      <c r="C277" s="181"/>
      <c r="D277" s="183"/>
      <c r="E277" s="183"/>
      <c r="F277" s="181"/>
      <c r="G277" s="181"/>
      <c r="H277" s="181"/>
      <c r="I277" s="181"/>
      <c r="J277" s="181"/>
    </row>
    <row r="278">
      <c r="A278" s="181"/>
      <c r="B278" s="181"/>
      <c r="C278" s="181"/>
      <c r="D278" s="183"/>
      <c r="E278" s="183"/>
      <c r="F278" s="181"/>
      <c r="G278" s="181"/>
      <c r="H278" s="181"/>
      <c r="I278" s="181"/>
      <c r="J278" s="181"/>
    </row>
    <row r="279">
      <c r="A279" s="181"/>
      <c r="B279" s="181"/>
      <c r="C279" s="181"/>
      <c r="D279" s="183"/>
      <c r="E279" s="183"/>
      <c r="F279" s="181"/>
      <c r="G279" s="181"/>
      <c r="H279" s="181"/>
      <c r="I279" s="181"/>
      <c r="J279" s="181"/>
    </row>
    <row r="280">
      <c r="A280" s="181"/>
      <c r="B280" s="181"/>
      <c r="C280" s="181"/>
      <c r="D280" s="183"/>
      <c r="E280" s="183"/>
      <c r="F280" s="181"/>
      <c r="G280" s="181"/>
      <c r="H280" s="181"/>
      <c r="I280" s="181"/>
      <c r="J280" s="181"/>
    </row>
    <row r="281">
      <c r="A281" s="181"/>
      <c r="B281" s="181"/>
      <c r="C281" s="181"/>
      <c r="D281" s="183"/>
      <c r="E281" s="183"/>
      <c r="F281" s="181"/>
      <c r="G281" s="181"/>
      <c r="H281" s="181"/>
      <c r="I281" s="181"/>
      <c r="J281" s="181"/>
    </row>
    <row r="282">
      <c r="A282" s="181"/>
      <c r="B282" s="181"/>
      <c r="C282" s="181"/>
      <c r="D282" s="183"/>
      <c r="E282" s="183"/>
      <c r="F282" s="181"/>
      <c r="G282" s="181"/>
      <c r="H282" s="181"/>
      <c r="I282" s="181"/>
      <c r="J282" s="181"/>
    </row>
    <row r="283">
      <c r="A283" s="181"/>
      <c r="B283" s="181"/>
      <c r="C283" s="181"/>
      <c r="D283" s="183"/>
      <c r="E283" s="183"/>
      <c r="F283" s="181"/>
      <c r="G283" s="181"/>
      <c r="H283" s="181"/>
      <c r="I283" s="181"/>
      <c r="J283" s="181"/>
    </row>
    <row r="284">
      <c r="A284" s="181"/>
      <c r="B284" s="181"/>
      <c r="C284" s="181"/>
      <c r="D284" s="183"/>
      <c r="E284" s="183"/>
      <c r="F284" s="181"/>
      <c r="G284" s="181"/>
      <c r="H284" s="181"/>
      <c r="I284" s="181"/>
      <c r="J284" s="181"/>
    </row>
    <row r="285">
      <c r="A285" s="181"/>
      <c r="B285" s="181"/>
      <c r="C285" s="181"/>
      <c r="D285" s="183"/>
      <c r="E285" s="183"/>
      <c r="F285" s="181"/>
      <c r="G285" s="181"/>
      <c r="H285" s="181"/>
      <c r="I285" s="181"/>
      <c r="J285" s="181"/>
    </row>
    <row r="286">
      <c r="A286" s="181"/>
      <c r="B286" s="181"/>
      <c r="C286" s="181"/>
      <c r="D286" s="183"/>
      <c r="E286" s="183"/>
      <c r="F286" s="181"/>
      <c r="G286" s="181"/>
      <c r="H286" s="181"/>
      <c r="I286" s="181"/>
      <c r="J286" s="181"/>
    </row>
    <row r="287">
      <c r="A287" s="181"/>
      <c r="B287" s="181"/>
      <c r="C287" s="181"/>
      <c r="D287" s="183"/>
      <c r="E287" s="183"/>
      <c r="F287" s="181"/>
      <c r="G287" s="181"/>
      <c r="H287" s="181"/>
      <c r="I287" s="181"/>
      <c r="J287" s="181"/>
    </row>
    <row r="288">
      <c r="A288" s="181"/>
      <c r="B288" s="181"/>
      <c r="C288" s="181"/>
      <c r="D288" s="183"/>
      <c r="E288" s="183"/>
      <c r="F288" s="181"/>
      <c r="G288" s="181"/>
      <c r="H288" s="181"/>
      <c r="I288" s="181"/>
      <c r="J288" s="181"/>
    </row>
    <row r="289">
      <c r="A289" s="181"/>
      <c r="B289" s="181"/>
      <c r="C289" s="181"/>
      <c r="D289" s="183"/>
      <c r="E289" s="183"/>
      <c r="F289" s="181"/>
      <c r="G289" s="181"/>
      <c r="H289" s="181"/>
      <c r="I289" s="181"/>
      <c r="J289" s="181"/>
    </row>
    <row r="290">
      <c r="A290" s="181"/>
      <c r="B290" s="181"/>
      <c r="C290" s="181"/>
      <c r="D290" s="183"/>
      <c r="E290" s="183"/>
      <c r="F290" s="181"/>
      <c r="G290" s="181"/>
      <c r="H290" s="181"/>
      <c r="I290" s="181"/>
      <c r="J290" s="181"/>
    </row>
    <row r="291">
      <c r="A291" s="431"/>
      <c r="B291" s="431"/>
      <c r="C291" s="431"/>
      <c r="D291" s="433"/>
      <c r="E291" s="433"/>
      <c r="F291" s="431"/>
      <c r="G291" s="431"/>
      <c r="H291" s="431"/>
      <c r="I291" s="436"/>
      <c r="J291" s="437"/>
    </row>
    <row r="292">
      <c r="A292" s="431"/>
      <c r="B292" s="431"/>
      <c r="C292" s="431"/>
      <c r="D292" s="433"/>
      <c r="E292" s="433"/>
      <c r="F292" s="431"/>
      <c r="G292" s="431"/>
      <c r="H292" s="431"/>
      <c r="I292" s="436"/>
      <c r="J292" s="437"/>
    </row>
    <row r="293">
      <c r="A293" s="431"/>
      <c r="B293" s="431"/>
      <c r="C293" s="431"/>
      <c r="D293" s="433"/>
      <c r="E293" s="433"/>
      <c r="F293" s="431"/>
      <c r="G293" s="431"/>
      <c r="H293" s="431"/>
      <c r="I293" s="436"/>
      <c r="J293" s="437"/>
    </row>
    <row r="294">
      <c r="A294" s="431"/>
      <c r="B294" s="431"/>
      <c r="C294" s="431"/>
      <c r="D294" s="433"/>
      <c r="E294" s="433"/>
      <c r="F294" s="431"/>
      <c r="G294" s="431"/>
      <c r="H294" s="431"/>
      <c r="I294" s="436"/>
      <c r="J294" s="437"/>
    </row>
    <row r="295">
      <c r="A295" s="431"/>
      <c r="B295" s="431"/>
      <c r="C295" s="431"/>
      <c r="D295" s="433"/>
      <c r="E295" s="433"/>
      <c r="F295" s="431"/>
      <c r="G295" s="431"/>
      <c r="H295" s="431"/>
      <c r="I295" s="436"/>
      <c r="J295" s="437"/>
    </row>
    <row r="296">
      <c r="A296" s="431"/>
      <c r="B296" s="431"/>
      <c r="C296" s="431"/>
      <c r="D296" s="433"/>
      <c r="E296" s="433"/>
      <c r="F296" s="431"/>
      <c r="G296" s="431"/>
      <c r="H296" s="431"/>
      <c r="I296" s="436"/>
      <c r="J296" s="437"/>
    </row>
    <row r="297">
      <c r="A297" s="431"/>
      <c r="B297" s="431"/>
      <c r="C297" s="431"/>
      <c r="D297" s="433"/>
      <c r="E297" s="433"/>
      <c r="F297" s="431"/>
      <c r="G297" s="431"/>
      <c r="H297" s="431"/>
      <c r="I297" s="436"/>
      <c r="J297" s="437"/>
    </row>
    <row r="298">
      <c r="A298" s="431"/>
      <c r="B298" s="431"/>
      <c r="C298" s="431"/>
      <c r="D298" s="433"/>
      <c r="E298" s="433"/>
      <c r="F298" s="431"/>
      <c r="G298" s="431"/>
      <c r="H298" s="431"/>
      <c r="I298" s="436"/>
      <c r="J298" s="437"/>
    </row>
    <row r="299">
      <c r="A299" s="431"/>
      <c r="B299" s="431"/>
      <c r="C299" s="431"/>
      <c r="D299" s="433"/>
      <c r="E299" s="433"/>
      <c r="F299" s="431"/>
      <c r="G299" s="431"/>
      <c r="H299" s="431"/>
      <c r="I299" s="436"/>
      <c r="J299" s="437"/>
    </row>
    <row r="300">
      <c r="A300" s="431"/>
      <c r="B300" s="431"/>
      <c r="C300" s="431"/>
      <c r="D300" s="433"/>
      <c r="E300" s="433"/>
      <c r="F300" s="431"/>
      <c r="G300" s="431"/>
      <c r="H300" s="431"/>
      <c r="I300" s="436"/>
      <c r="J300" s="437"/>
    </row>
    <row r="301">
      <c r="A301" s="431"/>
      <c r="B301" s="431"/>
      <c r="C301" s="431"/>
      <c r="D301" s="433"/>
      <c r="E301" s="433"/>
      <c r="F301" s="431"/>
      <c r="G301" s="431"/>
      <c r="H301" s="431"/>
      <c r="I301" s="436"/>
      <c r="J301" s="437"/>
    </row>
    <row r="302">
      <c r="A302" s="431"/>
      <c r="B302" s="431"/>
      <c r="C302" s="431"/>
      <c r="D302" s="433"/>
      <c r="E302" s="433"/>
      <c r="F302" s="431"/>
      <c r="G302" s="431"/>
      <c r="H302" s="431"/>
      <c r="I302" s="436"/>
      <c r="J302" s="437"/>
    </row>
    <row r="303">
      <c r="A303" s="431"/>
      <c r="B303" s="431"/>
      <c r="C303" s="431"/>
      <c r="D303" s="433"/>
      <c r="E303" s="433"/>
      <c r="F303" s="431"/>
      <c r="G303" s="431"/>
      <c r="H303" s="431"/>
      <c r="I303" s="436"/>
      <c r="J303" s="437"/>
    </row>
    <row r="304">
      <c r="A304" s="431"/>
      <c r="B304" s="431"/>
      <c r="C304" s="431"/>
      <c r="D304" s="433"/>
      <c r="E304" s="433"/>
      <c r="F304" s="431"/>
      <c r="G304" s="431"/>
      <c r="H304" s="431"/>
      <c r="I304" s="436"/>
      <c r="J304" s="437"/>
    </row>
    <row r="305">
      <c r="A305" s="431"/>
      <c r="B305" s="431"/>
      <c r="C305" s="431"/>
      <c r="D305" s="433"/>
      <c r="E305" s="433"/>
      <c r="F305" s="431"/>
      <c r="G305" s="431"/>
      <c r="H305" s="431"/>
      <c r="I305" s="436"/>
      <c r="J305" s="437"/>
    </row>
    <row r="306">
      <c r="A306" s="431"/>
      <c r="B306" s="431"/>
      <c r="C306" s="431"/>
      <c r="D306" s="433"/>
      <c r="E306" s="433"/>
      <c r="F306" s="431"/>
      <c r="G306" s="431"/>
      <c r="H306" s="431"/>
      <c r="I306" s="436"/>
      <c r="J306" s="437"/>
    </row>
    <row r="307">
      <c r="A307" s="431"/>
      <c r="B307" s="431"/>
      <c r="C307" s="431"/>
      <c r="D307" s="433"/>
      <c r="E307" s="433"/>
      <c r="F307" s="431"/>
      <c r="G307" s="431"/>
      <c r="H307" s="431"/>
      <c r="I307" s="436"/>
      <c r="J307" s="437"/>
    </row>
    <row r="308">
      <c r="A308" s="431"/>
      <c r="B308" s="431"/>
      <c r="C308" s="431"/>
      <c r="D308" s="433"/>
      <c r="E308" s="433"/>
      <c r="F308" s="431"/>
      <c r="G308" s="431"/>
      <c r="H308" s="431"/>
      <c r="I308" s="436"/>
      <c r="J308" s="437"/>
    </row>
    <row r="309">
      <c r="A309" s="431"/>
      <c r="B309" s="431"/>
      <c r="C309" s="431"/>
      <c r="D309" s="433"/>
      <c r="E309" s="433"/>
      <c r="F309" s="431"/>
      <c r="G309" s="431"/>
      <c r="H309" s="431"/>
      <c r="I309" s="436"/>
      <c r="J309" s="437"/>
    </row>
    <row r="310">
      <c r="A310" s="431"/>
      <c r="B310" s="431"/>
      <c r="C310" s="431"/>
      <c r="D310" s="433"/>
      <c r="E310" s="433"/>
      <c r="F310" s="431"/>
      <c r="G310" s="431"/>
      <c r="H310" s="431"/>
      <c r="I310" s="436"/>
      <c r="J310" s="437"/>
    </row>
    <row r="311">
      <c r="A311" s="431"/>
      <c r="B311" s="431"/>
      <c r="C311" s="431"/>
      <c r="D311" s="433"/>
      <c r="E311" s="433"/>
      <c r="F311" s="431"/>
      <c r="G311" s="431"/>
      <c r="H311" s="431"/>
      <c r="I311" s="436"/>
      <c r="J311" s="437"/>
    </row>
    <row r="312">
      <c r="A312" s="431"/>
      <c r="B312" s="431"/>
      <c r="C312" s="431"/>
      <c r="D312" s="433"/>
      <c r="E312" s="433"/>
      <c r="F312" s="431"/>
      <c r="G312" s="431"/>
      <c r="H312" s="431"/>
      <c r="I312" s="436"/>
      <c r="J312" s="437"/>
    </row>
    <row r="313">
      <c r="A313" s="431"/>
      <c r="B313" s="431"/>
      <c r="C313" s="431"/>
      <c r="D313" s="433"/>
      <c r="E313" s="433"/>
      <c r="F313" s="431"/>
      <c r="G313" s="431"/>
      <c r="H313" s="431"/>
      <c r="I313" s="436"/>
      <c r="J313" s="437"/>
    </row>
    <row r="314">
      <c r="A314" s="431"/>
      <c r="B314" s="431"/>
      <c r="C314" s="431"/>
      <c r="D314" s="433"/>
      <c r="E314" s="433"/>
      <c r="F314" s="431"/>
      <c r="G314" s="431"/>
      <c r="H314" s="431"/>
      <c r="I314" s="436"/>
      <c r="J314" s="437"/>
    </row>
    <row r="315">
      <c r="A315" s="431"/>
      <c r="B315" s="431"/>
      <c r="C315" s="431"/>
      <c r="D315" s="433"/>
      <c r="E315" s="433"/>
      <c r="F315" s="431"/>
      <c r="G315" s="431"/>
      <c r="H315" s="431"/>
      <c r="I315" s="436"/>
      <c r="J315" s="437"/>
    </row>
    <row r="316">
      <c r="A316" s="431"/>
      <c r="B316" s="431"/>
      <c r="C316" s="431"/>
      <c r="D316" s="433"/>
      <c r="E316" s="433"/>
      <c r="F316" s="431"/>
      <c r="G316" s="431"/>
      <c r="H316" s="431"/>
      <c r="I316" s="436"/>
      <c r="J316" s="437"/>
    </row>
    <row r="317">
      <c r="A317" s="431"/>
      <c r="B317" s="431"/>
      <c r="C317" s="431"/>
      <c r="D317" s="433"/>
      <c r="E317" s="433"/>
      <c r="F317" s="431"/>
      <c r="G317" s="431"/>
      <c r="H317" s="431"/>
      <c r="I317" s="436"/>
      <c r="J317" s="437"/>
    </row>
    <row r="318">
      <c r="A318" s="431"/>
      <c r="B318" s="431"/>
      <c r="C318" s="431"/>
      <c r="D318" s="433"/>
      <c r="E318" s="433"/>
      <c r="F318" s="431"/>
      <c r="G318" s="431"/>
      <c r="H318" s="431"/>
      <c r="I318" s="436"/>
      <c r="J318" s="437"/>
    </row>
    <row r="319">
      <c r="A319" s="431"/>
      <c r="B319" s="431"/>
      <c r="C319" s="431"/>
      <c r="D319" s="433"/>
      <c r="E319" s="433"/>
      <c r="F319" s="431"/>
      <c r="G319" s="431"/>
      <c r="H319" s="431"/>
      <c r="I319" s="436"/>
      <c r="J319" s="437"/>
    </row>
    <row r="320">
      <c r="A320" s="431"/>
      <c r="B320" s="431"/>
      <c r="C320" s="431"/>
      <c r="D320" s="433"/>
      <c r="E320" s="433"/>
      <c r="F320" s="431"/>
      <c r="G320" s="431"/>
      <c r="H320" s="431"/>
      <c r="I320" s="436"/>
      <c r="J320" s="437"/>
    </row>
    <row r="321">
      <c r="A321" s="431"/>
      <c r="B321" s="431"/>
      <c r="C321" s="431"/>
      <c r="D321" s="433"/>
      <c r="E321" s="433"/>
      <c r="F321" s="431"/>
      <c r="G321" s="431"/>
      <c r="H321" s="431"/>
      <c r="I321" s="436"/>
      <c r="J321" s="437"/>
    </row>
    <row r="322">
      <c r="A322" s="431"/>
      <c r="B322" s="431"/>
      <c r="C322" s="431"/>
      <c r="D322" s="433"/>
      <c r="E322" s="433"/>
      <c r="F322" s="431"/>
      <c r="G322" s="431"/>
      <c r="H322" s="431"/>
      <c r="I322" s="436"/>
      <c r="J322" s="437"/>
    </row>
    <row r="323">
      <c r="A323" s="431"/>
      <c r="B323" s="431"/>
      <c r="C323" s="431"/>
      <c r="D323" s="433"/>
      <c r="E323" s="433"/>
      <c r="F323" s="431"/>
      <c r="G323" s="431"/>
      <c r="H323" s="431"/>
      <c r="I323" s="436"/>
      <c r="J323" s="437"/>
    </row>
    <row r="324">
      <c r="A324" s="431"/>
      <c r="B324" s="431"/>
      <c r="C324" s="431"/>
      <c r="D324" s="433"/>
      <c r="E324" s="433"/>
      <c r="F324" s="431"/>
      <c r="G324" s="431"/>
      <c r="H324" s="431"/>
      <c r="I324" s="436"/>
      <c r="J324" s="437"/>
    </row>
    <row r="325">
      <c r="A325" s="431"/>
      <c r="B325" s="431"/>
      <c r="C325" s="431"/>
      <c r="D325" s="433"/>
      <c r="E325" s="433"/>
      <c r="F325" s="431"/>
      <c r="G325" s="431"/>
      <c r="H325" s="431"/>
      <c r="I325" s="436"/>
      <c r="J325" s="437"/>
    </row>
    <row r="326">
      <c r="A326" s="431"/>
      <c r="B326" s="431"/>
      <c r="C326" s="431"/>
      <c r="D326" s="433"/>
      <c r="E326" s="433"/>
      <c r="F326" s="431"/>
      <c r="G326" s="431"/>
      <c r="H326" s="431"/>
      <c r="I326" s="436"/>
      <c r="J326" s="437"/>
    </row>
    <row r="327">
      <c r="A327" s="431"/>
      <c r="B327" s="431"/>
      <c r="C327" s="431"/>
      <c r="D327" s="433"/>
      <c r="E327" s="433"/>
      <c r="F327" s="431"/>
      <c r="G327" s="431"/>
      <c r="H327" s="431"/>
      <c r="I327" s="436"/>
      <c r="J327" s="437"/>
    </row>
    <row r="328">
      <c r="A328" s="431"/>
      <c r="B328" s="431"/>
      <c r="C328" s="431"/>
      <c r="D328" s="433"/>
      <c r="E328" s="433"/>
      <c r="F328" s="431"/>
      <c r="G328" s="431"/>
      <c r="H328" s="431"/>
      <c r="I328" s="436"/>
      <c r="J328" s="437"/>
    </row>
    <row r="329">
      <c r="A329" s="431"/>
      <c r="B329" s="431"/>
      <c r="C329" s="431"/>
      <c r="D329" s="433"/>
      <c r="E329" s="433"/>
      <c r="F329" s="431"/>
      <c r="G329" s="431"/>
      <c r="H329" s="431"/>
      <c r="I329" s="436"/>
      <c r="J329" s="437"/>
    </row>
    <row r="330">
      <c r="A330" s="431"/>
      <c r="B330" s="431"/>
      <c r="C330" s="431"/>
      <c r="D330" s="433"/>
      <c r="E330" s="433"/>
      <c r="F330" s="431"/>
      <c r="G330" s="431"/>
      <c r="H330" s="431"/>
      <c r="I330" s="436"/>
      <c r="J330" s="437"/>
    </row>
    <row r="331">
      <c r="A331" s="431"/>
      <c r="B331" s="431"/>
      <c r="C331" s="431"/>
      <c r="D331" s="433"/>
      <c r="E331" s="433"/>
      <c r="F331" s="431"/>
      <c r="G331" s="431"/>
      <c r="H331" s="431"/>
      <c r="I331" s="436"/>
      <c r="J331" s="437"/>
    </row>
    <row r="332">
      <c r="A332" s="431"/>
      <c r="B332" s="431"/>
      <c r="C332" s="431"/>
      <c r="D332" s="433"/>
      <c r="E332" s="433"/>
      <c r="F332" s="431"/>
      <c r="G332" s="431"/>
      <c r="H332" s="431"/>
      <c r="I332" s="436"/>
      <c r="J332" s="437"/>
    </row>
    <row r="333">
      <c r="A333" s="431"/>
      <c r="B333" s="431"/>
      <c r="C333" s="431"/>
      <c r="D333" s="433"/>
      <c r="E333" s="433"/>
      <c r="F333" s="431"/>
      <c r="G333" s="431"/>
      <c r="H333" s="431"/>
      <c r="I333" s="436"/>
      <c r="J333" s="437"/>
    </row>
    <row r="334">
      <c r="A334" s="431"/>
      <c r="B334" s="431"/>
      <c r="C334" s="431"/>
      <c r="D334" s="433"/>
      <c r="E334" s="433"/>
      <c r="F334" s="431"/>
      <c r="G334" s="431"/>
      <c r="H334" s="431"/>
      <c r="I334" s="436"/>
      <c r="J334" s="437"/>
    </row>
    <row r="335">
      <c r="A335" s="431"/>
      <c r="B335" s="431"/>
      <c r="C335" s="431"/>
      <c r="D335" s="433"/>
      <c r="E335" s="433"/>
      <c r="F335" s="431"/>
      <c r="G335" s="431"/>
      <c r="H335" s="431"/>
      <c r="I335" s="436"/>
      <c r="J335" s="437"/>
    </row>
    <row r="336">
      <c r="A336" s="431"/>
      <c r="B336" s="431"/>
      <c r="C336" s="431"/>
      <c r="D336" s="433"/>
      <c r="E336" s="433"/>
      <c r="F336" s="431"/>
      <c r="G336" s="431"/>
      <c r="H336" s="431"/>
      <c r="I336" s="436"/>
      <c r="J336" s="437"/>
    </row>
    <row r="337">
      <c r="A337" s="431"/>
      <c r="B337" s="431"/>
      <c r="C337" s="431"/>
      <c r="D337" s="433"/>
      <c r="E337" s="433"/>
      <c r="F337" s="431"/>
      <c r="G337" s="431"/>
      <c r="H337" s="431"/>
      <c r="I337" s="436"/>
      <c r="J337" s="437"/>
    </row>
    <row r="338">
      <c r="A338" s="431"/>
      <c r="B338" s="431"/>
      <c r="C338" s="431"/>
      <c r="D338" s="433"/>
      <c r="E338" s="433"/>
      <c r="F338" s="431"/>
      <c r="G338" s="431"/>
      <c r="H338" s="431"/>
      <c r="I338" s="436"/>
      <c r="J338" s="437"/>
    </row>
    <row r="339">
      <c r="A339" s="431"/>
      <c r="B339" s="431"/>
      <c r="C339" s="431"/>
      <c r="D339" s="433"/>
      <c r="E339" s="433"/>
      <c r="F339" s="431"/>
      <c r="G339" s="431"/>
      <c r="H339" s="431"/>
      <c r="I339" s="436"/>
      <c r="J339" s="437"/>
    </row>
    <row r="340">
      <c r="A340" s="431"/>
      <c r="B340" s="431"/>
      <c r="C340" s="431"/>
      <c r="D340" s="433"/>
      <c r="E340" s="433"/>
      <c r="F340" s="431"/>
      <c r="G340" s="431"/>
      <c r="H340" s="431"/>
      <c r="I340" s="436"/>
      <c r="J340" s="437"/>
    </row>
    <row r="341">
      <c r="A341" s="431"/>
      <c r="B341" s="431"/>
      <c r="C341" s="431"/>
      <c r="D341" s="433"/>
      <c r="E341" s="433"/>
      <c r="F341" s="431"/>
      <c r="G341" s="431"/>
      <c r="H341" s="431"/>
      <c r="I341" s="436"/>
      <c r="J341" s="437"/>
    </row>
    <row r="342">
      <c r="A342" s="431"/>
      <c r="B342" s="431"/>
      <c r="C342" s="431"/>
      <c r="D342" s="433"/>
      <c r="E342" s="433"/>
      <c r="F342" s="431"/>
      <c r="G342" s="431"/>
      <c r="H342" s="431"/>
      <c r="I342" s="436"/>
      <c r="J342" s="437"/>
    </row>
    <row r="343">
      <c r="A343" s="431"/>
      <c r="B343" s="431"/>
      <c r="C343" s="431"/>
      <c r="D343" s="433"/>
      <c r="E343" s="433"/>
      <c r="F343" s="431"/>
      <c r="G343" s="431"/>
      <c r="H343" s="431"/>
      <c r="I343" s="436"/>
      <c r="J343" s="437"/>
    </row>
    <row r="344">
      <c r="A344" s="431"/>
      <c r="B344" s="431"/>
      <c r="C344" s="431"/>
      <c r="D344" s="433"/>
      <c r="E344" s="433"/>
      <c r="F344" s="431"/>
      <c r="G344" s="431"/>
      <c r="H344" s="431"/>
      <c r="I344" s="436"/>
      <c r="J344" s="437"/>
    </row>
    <row r="345">
      <c r="A345" s="431"/>
      <c r="B345" s="431"/>
      <c r="C345" s="431"/>
      <c r="D345" s="433"/>
      <c r="E345" s="433"/>
      <c r="F345" s="431"/>
      <c r="G345" s="431"/>
      <c r="H345" s="431"/>
      <c r="I345" s="436"/>
      <c r="J345" s="437"/>
    </row>
    <row r="346">
      <c r="A346" s="431"/>
      <c r="B346" s="431"/>
      <c r="C346" s="431"/>
      <c r="D346" s="433"/>
      <c r="E346" s="433"/>
      <c r="F346" s="431"/>
      <c r="G346" s="431"/>
      <c r="H346" s="431"/>
      <c r="I346" s="436"/>
      <c r="J346" s="437"/>
    </row>
    <row r="347">
      <c r="A347" s="431"/>
      <c r="B347" s="431"/>
      <c r="C347" s="431"/>
      <c r="D347" s="433"/>
      <c r="E347" s="433"/>
      <c r="F347" s="431"/>
      <c r="G347" s="431"/>
      <c r="H347" s="431"/>
      <c r="I347" s="436"/>
      <c r="J347" s="437"/>
    </row>
    <row r="348">
      <c r="A348" s="431"/>
      <c r="B348" s="431"/>
      <c r="C348" s="431"/>
      <c r="D348" s="433"/>
      <c r="E348" s="433"/>
      <c r="F348" s="431"/>
      <c r="G348" s="431"/>
      <c r="H348" s="431"/>
      <c r="I348" s="436"/>
      <c r="J348" s="437"/>
    </row>
    <row r="349">
      <c r="A349" s="431"/>
      <c r="B349" s="431"/>
      <c r="C349" s="431"/>
      <c r="D349" s="433"/>
      <c r="E349" s="433"/>
      <c r="F349" s="431"/>
      <c r="G349" s="431"/>
      <c r="H349" s="431"/>
      <c r="I349" s="436"/>
      <c r="J349" s="437"/>
    </row>
    <row r="350">
      <c r="A350" s="431"/>
      <c r="B350" s="431"/>
      <c r="C350" s="431"/>
      <c r="D350" s="433"/>
      <c r="E350" s="433"/>
      <c r="F350" s="431"/>
      <c r="G350" s="431"/>
      <c r="H350" s="431"/>
      <c r="I350" s="436"/>
      <c r="J350" s="437"/>
    </row>
    <row r="351">
      <c r="A351" s="431"/>
      <c r="B351" s="431"/>
      <c r="C351" s="431"/>
      <c r="D351" s="433"/>
      <c r="E351" s="433"/>
      <c r="F351" s="431"/>
      <c r="G351" s="431"/>
      <c r="H351" s="431"/>
      <c r="I351" s="436"/>
      <c r="J351" s="437"/>
    </row>
    <row r="352">
      <c r="A352" s="431"/>
      <c r="B352" s="431"/>
      <c r="C352" s="431"/>
      <c r="D352" s="433"/>
      <c r="E352" s="433"/>
      <c r="F352" s="431"/>
      <c r="G352" s="431"/>
      <c r="H352" s="431"/>
      <c r="I352" s="436"/>
      <c r="J352" s="437"/>
    </row>
    <row r="353">
      <c r="A353" s="431"/>
      <c r="B353" s="431"/>
      <c r="C353" s="431"/>
      <c r="D353" s="433"/>
      <c r="E353" s="433"/>
      <c r="F353" s="431"/>
      <c r="G353" s="431"/>
      <c r="H353" s="431"/>
      <c r="I353" s="436"/>
      <c r="J353" s="437"/>
    </row>
    <row r="354">
      <c r="A354" s="431"/>
      <c r="B354" s="431"/>
      <c r="C354" s="431"/>
      <c r="D354" s="433"/>
      <c r="E354" s="433"/>
      <c r="F354" s="431"/>
      <c r="G354" s="431"/>
      <c r="H354" s="431"/>
      <c r="I354" s="436"/>
      <c r="J354" s="437"/>
    </row>
    <row r="355">
      <c r="A355" s="431"/>
      <c r="B355" s="431"/>
      <c r="C355" s="431"/>
      <c r="D355" s="433"/>
      <c r="E355" s="433"/>
      <c r="F355" s="431"/>
      <c r="G355" s="431"/>
      <c r="H355" s="431"/>
      <c r="I355" s="436"/>
      <c r="J355" s="437"/>
    </row>
    <row r="356">
      <c r="A356" s="431"/>
      <c r="B356" s="431"/>
      <c r="C356" s="431"/>
      <c r="D356" s="433"/>
      <c r="E356" s="433"/>
      <c r="F356" s="431"/>
      <c r="G356" s="431"/>
      <c r="H356" s="431"/>
      <c r="I356" s="436"/>
      <c r="J356" s="437"/>
    </row>
    <row r="357">
      <c r="A357" s="431"/>
      <c r="B357" s="431"/>
      <c r="C357" s="431"/>
      <c r="D357" s="433"/>
      <c r="E357" s="433"/>
      <c r="F357" s="431"/>
      <c r="G357" s="431"/>
      <c r="H357" s="431"/>
      <c r="I357" s="436"/>
      <c r="J357" s="437"/>
    </row>
    <row r="358">
      <c r="A358" s="431"/>
      <c r="B358" s="431"/>
      <c r="C358" s="431"/>
      <c r="D358" s="433"/>
      <c r="E358" s="433"/>
      <c r="F358" s="431"/>
      <c r="G358" s="431"/>
      <c r="H358" s="431"/>
      <c r="I358" s="436"/>
      <c r="J358" s="437"/>
    </row>
    <row r="359">
      <c r="A359" s="431"/>
      <c r="B359" s="431"/>
      <c r="C359" s="431"/>
      <c r="D359" s="433"/>
      <c r="E359" s="433"/>
      <c r="F359" s="431"/>
      <c r="G359" s="431"/>
      <c r="H359" s="431"/>
      <c r="I359" s="436"/>
      <c r="J359" s="437"/>
    </row>
    <row r="360">
      <c r="A360" s="431"/>
      <c r="B360" s="431"/>
      <c r="C360" s="431"/>
      <c r="D360" s="433"/>
      <c r="E360" s="433"/>
      <c r="F360" s="431"/>
      <c r="G360" s="431"/>
      <c r="H360" s="431"/>
      <c r="I360" s="436"/>
      <c r="J360" s="437"/>
    </row>
    <row r="361">
      <c r="A361" s="431"/>
      <c r="B361" s="431"/>
      <c r="C361" s="431"/>
      <c r="D361" s="433"/>
      <c r="E361" s="433"/>
      <c r="F361" s="431"/>
      <c r="G361" s="431"/>
      <c r="H361" s="431"/>
      <c r="I361" s="436"/>
      <c r="J361" s="437"/>
    </row>
    <row r="362">
      <c r="A362" s="431"/>
      <c r="B362" s="431"/>
      <c r="C362" s="431"/>
      <c r="D362" s="433"/>
      <c r="E362" s="433"/>
      <c r="F362" s="431"/>
      <c r="G362" s="431"/>
      <c r="H362" s="431"/>
      <c r="I362" s="436"/>
      <c r="J362" s="437"/>
    </row>
    <row r="363">
      <c r="A363" s="431"/>
      <c r="B363" s="431"/>
      <c r="C363" s="431"/>
      <c r="D363" s="433"/>
      <c r="E363" s="433"/>
      <c r="F363" s="431"/>
      <c r="G363" s="431"/>
      <c r="H363" s="431"/>
      <c r="I363" s="436"/>
      <c r="J363" s="437"/>
    </row>
    <row r="364">
      <c r="A364" s="431"/>
      <c r="B364" s="431"/>
      <c r="C364" s="431"/>
      <c r="D364" s="433"/>
      <c r="E364" s="433"/>
      <c r="F364" s="431"/>
      <c r="G364" s="431"/>
      <c r="H364" s="431"/>
      <c r="I364" s="436"/>
      <c r="J364" s="437"/>
    </row>
    <row r="365">
      <c r="A365" s="431"/>
      <c r="B365" s="431"/>
      <c r="C365" s="431"/>
      <c r="D365" s="433"/>
      <c r="E365" s="433"/>
      <c r="F365" s="431"/>
      <c r="G365" s="431"/>
      <c r="H365" s="431"/>
      <c r="I365" s="436"/>
      <c r="J365" s="437"/>
    </row>
    <row r="366">
      <c r="A366" s="431"/>
      <c r="B366" s="431"/>
      <c r="C366" s="431"/>
      <c r="D366" s="433"/>
      <c r="E366" s="433"/>
      <c r="F366" s="431"/>
      <c r="G366" s="431"/>
      <c r="H366" s="431"/>
      <c r="I366" s="436"/>
      <c r="J366" s="437"/>
    </row>
    <row r="367">
      <c r="A367" s="431"/>
      <c r="B367" s="431"/>
      <c r="C367" s="431"/>
      <c r="D367" s="433"/>
      <c r="E367" s="433"/>
      <c r="F367" s="431"/>
      <c r="G367" s="431"/>
      <c r="H367" s="431"/>
      <c r="I367" s="436"/>
      <c r="J367" s="437"/>
    </row>
    <row r="368">
      <c r="A368" s="431"/>
      <c r="B368" s="431"/>
      <c r="C368" s="431"/>
      <c r="D368" s="433"/>
      <c r="E368" s="433"/>
      <c r="F368" s="431"/>
      <c r="G368" s="431"/>
      <c r="H368" s="431"/>
      <c r="I368" s="436"/>
      <c r="J368" s="437"/>
    </row>
    <row r="369">
      <c r="A369" s="431"/>
      <c r="B369" s="431"/>
      <c r="C369" s="431"/>
      <c r="D369" s="433"/>
      <c r="E369" s="433"/>
      <c r="F369" s="431"/>
      <c r="G369" s="431"/>
      <c r="H369" s="431"/>
      <c r="I369" s="436"/>
      <c r="J369" s="437"/>
    </row>
    <row r="370">
      <c r="A370" s="431"/>
      <c r="B370" s="431"/>
      <c r="C370" s="431"/>
      <c r="D370" s="433"/>
      <c r="E370" s="433"/>
      <c r="F370" s="431"/>
      <c r="G370" s="431"/>
      <c r="H370" s="431"/>
      <c r="I370" s="436"/>
      <c r="J370" s="437"/>
    </row>
    <row r="371">
      <c r="A371" s="431"/>
      <c r="B371" s="431"/>
      <c r="C371" s="431"/>
      <c r="D371" s="433"/>
      <c r="E371" s="433"/>
      <c r="F371" s="431"/>
      <c r="G371" s="431"/>
      <c r="H371" s="431"/>
      <c r="I371" s="436"/>
      <c r="J371" s="437"/>
    </row>
    <row r="372">
      <c r="A372" s="431"/>
      <c r="B372" s="431"/>
      <c r="C372" s="431"/>
      <c r="D372" s="433"/>
      <c r="E372" s="433"/>
      <c r="F372" s="431"/>
      <c r="G372" s="431"/>
      <c r="H372" s="431"/>
      <c r="I372" s="436"/>
      <c r="J372" s="437"/>
    </row>
    <row r="373">
      <c r="A373" s="431"/>
      <c r="B373" s="431"/>
      <c r="C373" s="431"/>
      <c r="D373" s="433"/>
      <c r="E373" s="433"/>
      <c r="F373" s="431"/>
      <c r="G373" s="431"/>
      <c r="H373" s="431"/>
      <c r="I373" s="436"/>
      <c r="J373" s="437"/>
    </row>
    <row r="374">
      <c r="A374" s="431"/>
      <c r="B374" s="431"/>
      <c r="C374" s="431"/>
      <c r="D374" s="433"/>
      <c r="E374" s="433"/>
      <c r="F374" s="431"/>
      <c r="G374" s="431"/>
      <c r="H374" s="431"/>
      <c r="I374" s="436"/>
      <c r="J374" s="437"/>
    </row>
    <row r="375">
      <c r="A375" s="431"/>
      <c r="B375" s="431"/>
      <c r="C375" s="431"/>
      <c r="D375" s="433"/>
      <c r="E375" s="433"/>
      <c r="F375" s="431"/>
      <c r="G375" s="431"/>
      <c r="H375" s="431"/>
      <c r="I375" s="436"/>
      <c r="J375" s="437"/>
    </row>
    <row r="376">
      <c r="A376" s="431"/>
      <c r="B376" s="431"/>
      <c r="C376" s="431"/>
      <c r="D376" s="433"/>
      <c r="E376" s="433"/>
      <c r="F376" s="431"/>
      <c r="G376" s="431"/>
      <c r="H376" s="431"/>
      <c r="I376" s="436"/>
      <c r="J376" s="437"/>
    </row>
    <row r="377">
      <c r="A377" s="431"/>
      <c r="B377" s="431"/>
      <c r="C377" s="431"/>
      <c r="D377" s="433"/>
      <c r="E377" s="433"/>
      <c r="F377" s="431"/>
      <c r="G377" s="431"/>
      <c r="H377" s="431"/>
      <c r="I377" s="436"/>
      <c r="J377" s="437"/>
    </row>
    <row r="378">
      <c r="A378" s="431"/>
      <c r="B378" s="431"/>
      <c r="C378" s="431"/>
      <c r="D378" s="433"/>
      <c r="E378" s="433"/>
      <c r="F378" s="431"/>
      <c r="G378" s="431"/>
      <c r="H378" s="431"/>
      <c r="I378" s="436"/>
      <c r="J378" s="437"/>
    </row>
    <row r="379">
      <c r="A379" s="431"/>
      <c r="B379" s="431"/>
      <c r="C379" s="431"/>
      <c r="D379" s="433"/>
      <c r="E379" s="433"/>
      <c r="F379" s="431"/>
      <c r="G379" s="431"/>
      <c r="H379" s="431"/>
      <c r="I379" s="436"/>
      <c r="J379" s="437"/>
    </row>
    <row r="380">
      <c r="A380" s="431"/>
      <c r="B380" s="431"/>
      <c r="C380" s="431"/>
      <c r="D380" s="433"/>
      <c r="E380" s="433"/>
      <c r="F380" s="431"/>
      <c r="G380" s="431"/>
      <c r="H380" s="431"/>
      <c r="I380" s="436"/>
      <c r="J380" s="437"/>
    </row>
    <row r="381">
      <c r="A381" s="431"/>
      <c r="B381" s="431"/>
      <c r="C381" s="431"/>
      <c r="D381" s="433"/>
      <c r="E381" s="433"/>
      <c r="F381" s="431"/>
      <c r="G381" s="431"/>
      <c r="H381" s="431"/>
      <c r="I381" s="436"/>
      <c r="J381" s="437"/>
    </row>
    <row r="382">
      <c r="A382" s="431"/>
      <c r="B382" s="431"/>
      <c r="C382" s="431"/>
      <c r="D382" s="433"/>
      <c r="E382" s="433"/>
      <c r="F382" s="431"/>
      <c r="G382" s="431"/>
      <c r="H382" s="431"/>
      <c r="I382" s="436"/>
      <c r="J382" s="437"/>
    </row>
    <row r="383">
      <c r="A383" s="431"/>
      <c r="B383" s="431"/>
      <c r="C383" s="431"/>
      <c r="D383" s="433"/>
      <c r="E383" s="433"/>
      <c r="F383" s="431"/>
      <c r="G383" s="431"/>
      <c r="H383" s="431"/>
      <c r="I383" s="436"/>
      <c r="J383" s="437"/>
    </row>
    <row r="384">
      <c r="A384" s="431"/>
      <c r="B384" s="431"/>
      <c r="C384" s="431"/>
      <c r="D384" s="433"/>
      <c r="E384" s="433"/>
      <c r="F384" s="431"/>
      <c r="G384" s="431"/>
      <c r="H384" s="431"/>
      <c r="I384" s="436"/>
      <c r="J384" s="437"/>
    </row>
    <row r="385">
      <c r="A385" s="431"/>
      <c r="B385" s="431"/>
      <c r="C385" s="431"/>
      <c r="D385" s="433"/>
      <c r="E385" s="433"/>
      <c r="F385" s="431"/>
      <c r="G385" s="431"/>
      <c r="H385" s="431"/>
      <c r="I385" s="436"/>
      <c r="J385" s="437"/>
    </row>
    <row r="386">
      <c r="A386" s="431"/>
      <c r="B386" s="431"/>
      <c r="C386" s="431"/>
      <c r="D386" s="433"/>
      <c r="E386" s="433"/>
      <c r="F386" s="431"/>
      <c r="G386" s="431"/>
      <c r="H386" s="431"/>
      <c r="I386" s="436"/>
      <c r="J386" s="437"/>
    </row>
    <row r="387">
      <c r="A387" s="431"/>
      <c r="B387" s="431"/>
      <c r="C387" s="431"/>
      <c r="D387" s="433"/>
      <c r="E387" s="433"/>
      <c r="F387" s="431"/>
      <c r="G387" s="431"/>
      <c r="H387" s="431"/>
      <c r="I387" s="436"/>
      <c r="J387" s="437"/>
    </row>
    <row r="388">
      <c r="A388" s="431"/>
      <c r="B388" s="431"/>
      <c r="C388" s="431"/>
      <c r="D388" s="433"/>
      <c r="E388" s="433"/>
      <c r="F388" s="431"/>
      <c r="G388" s="431"/>
      <c r="H388" s="431"/>
      <c r="I388" s="436"/>
      <c r="J388" s="437"/>
    </row>
    <row r="389">
      <c r="A389" s="431"/>
      <c r="B389" s="431"/>
      <c r="C389" s="431"/>
      <c r="D389" s="433"/>
      <c r="E389" s="433"/>
      <c r="F389" s="431"/>
      <c r="G389" s="431"/>
      <c r="H389" s="431"/>
      <c r="I389" s="436"/>
      <c r="J389" s="437"/>
    </row>
    <row r="390">
      <c r="A390" s="431"/>
      <c r="B390" s="431"/>
      <c r="C390" s="431"/>
      <c r="D390" s="433"/>
      <c r="E390" s="433"/>
      <c r="F390" s="431"/>
      <c r="G390" s="431"/>
      <c r="H390" s="431"/>
      <c r="I390" s="436"/>
      <c r="J390" s="437"/>
    </row>
    <row r="391">
      <c r="A391" s="431"/>
      <c r="B391" s="431"/>
      <c r="C391" s="431"/>
      <c r="D391" s="433"/>
      <c r="E391" s="433"/>
      <c r="F391" s="431"/>
      <c r="G391" s="431"/>
      <c r="H391" s="431"/>
      <c r="I391" s="436"/>
      <c r="J391" s="437"/>
    </row>
    <row r="392">
      <c r="A392" s="431"/>
      <c r="B392" s="431"/>
      <c r="C392" s="431"/>
      <c r="D392" s="433"/>
      <c r="E392" s="433"/>
      <c r="F392" s="431"/>
      <c r="G392" s="431"/>
      <c r="H392" s="431"/>
      <c r="I392" s="436"/>
      <c r="J392" s="437"/>
    </row>
    <row r="393">
      <c r="A393" s="431"/>
      <c r="B393" s="431"/>
      <c r="C393" s="431"/>
      <c r="D393" s="433"/>
      <c r="E393" s="433"/>
      <c r="F393" s="431"/>
      <c r="G393" s="431"/>
      <c r="H393" s="431"/>
      <c r="I393" s="436"/>
      <c r="J393" s="437"/>
    </row>
    <row r="394">
      <c r="A394" s="431"/>
      <c r="B394" s="431"/>
      <c r="C394" s="431"/>
      <c r="D394" s="433"/>
      <c r="E394" s="433"/>
      <c r="F394" s="431"/>
      <c r="G394" s="431"/>
      <c r="H394" s="431"/>
      <c r="I394" s="436"/>
      <c r="J394" s="437"/>
    </row>
    <row r="395">
      <c r="A395" s="431"/>
      <c r="B395" s="431"/>
      <c r="C395" s="431"/>
      <c r="D395" s="433"/>
      <c r="E395" s="433"/>
      <c r="F395" s="431"/>
      <c r="G395" s="431"/>
      <c r="H395" s="431"/>
      <c r="I395" s="436"/>
      <c r="J395" s="437"/>
    </row>
    <row r="396">
      <c r="A396" s="431"/>
      <c r="B396" s="431"/>
      <c r="C396" s="431"/>
      <c r="D396" s="433"/>
      <c r="E396" s="433"/>
      <c r="F396" s="431"/>
      <c r="G396" s="431"/>
      <c r="H396" s="431"/>
      <c r="I396" s="436"/>
      <c r="J396" s="437"/>
    </row>
    <row r="397">
      <c r="A397" s="431"/>
      <c r="B397" s="431"/>
      <c r="C397" s="431"/>
      <c r="D397" s="433"/>
      <c r="E397" s="433"/>
      <c r="F397" s="431"/>
      <c r="G397" s="431"/>
      <c r="H397" s="431"/>
      <c r="I397" s="436"/>
      <c r="J397" s="437"/>
    </row>
    <row r="398">
      <c r="A398" s="431"/>
      <c r="B398" s="431"/>
      <c r="C398" s="431"/>
      <c r="D398" s="433"/>
      <c r="E398" s="433"/>
      <c r="F398" s="431"/>
      <c r="G398" s="431"/>
      <c r="H398" s="431"/>
      <c r="I398" s="436"/>
      <c r="J398" s="437"/>
    </row>
    <row r="399">
      <c r="A399" s="431"/>
      <c r="B399" s="431"/>
      <c r="C399" s="431"/>
      <c r="D399" s="433"/>
      <c r="E399" s="433"/>
      <c r="F399" s="431"/>
      <c r="G399" s="431"/>
      <c r="H399" s="431"/>
      <c r="I399" s="436"/>
      <c r="J399" s="437"/>
    </row>
    <row r="400">
      <c r="A400" s="431"/>
      <c r="B400" s="431"/>
      <c r="C400" s="431"/>
      <c r="D400" s="433"/>
      <c r="E400" s="433"/>
      <c r="F400" s="431"/>
      <c r="G400" s="431"/>
      <c r="H400" s="431"/>
      <c r="I400" s="436"/>
      <c r="J400" s="437"/>
    </row>
    <row r="401">
      <c r="A401" s="431"/>
      <c r="B401" s="431"/>
      <c r="C401" s="431"/>
      <c r="D401" s="433"/>
      <c r="E401" s="433"/>
      <c r="F401" s="431"/>
      <c r="G401" s="431"/>
      <c r="H401" s="431"/>
      <c r="I401" s="436"/>
      <c r="J401" s="437"/>
    </row>
    <row r="402">
      <c r="A402" s="431"/>
      <c r="B402" s="431"/>
      <c r="C402" s="431"/>
      <c r="D402" s="433"/>
      <c r="E402" s="433"/>
      <c r="F402" s="431"/>
      <c r="G402" s="431"/>
      <c r="H402" s="431"/>
      <c r="I402" s="436"/>
      <c r="J402" s="437"/>
    </row>
    <row r="403">
      <c r="A403" s="431"/>
      <c r="B403" s="431"/>
      <c r="C403" s="431"/>
      <c r="D403" s="433"/>
      <c r="E403" s="433"/>
      <c r="F403" s="431"/>
      <c r="G403" s="431"/>
      <c r="H403" s="431"/>
      <c r="I403" s="436"/>
      <c r="J403" s="437"/>
    </row>
    <row r="404">
      <c r="A404" s="431"/>
      <c r="B404" s="431"/>
      <c r="C404" s="431"/>
      <c r="D404" s="433"/>
      <c r="E404" s="433"/>
      <c r="F404" s="431"/>
      <c r="G404" s="431"/>
      <c r="H404" s="431"/>
      <c r="I404" s="436"/>
      <c r="J404" s="437"/>
    </row>
    <row r="405">
      <c r="A405" s="431"/>
      <c r="B405" s="431"/>
      <c r="C405" s="431"/>
      <c r="D405" s="433"/>
      <c r="E405" s="433"/>
      <c r="F405" s="431"/>
      <c r="G405" s="431"/>
      <c r="H405" s="431"/>
      <c r="I405" s="436"/>
      <c r="J405" s="437"/>
    </row>
    <row r="406">
      <c r="A406" s="431"/>
      <c r="B406" s="431"/>
      <c r="C406" s="431"/>
      <c r="D406" s="433"/>
      <c r="E406" s="433"/>
      <c r="F406" s="431"/>
      <c r="G406" s="431"/>
      <c r="H406" s="431"/>
      <c r="I406" s="436"/>
      <c r="J406" s="437"/>
    </row>
    <row r="407">
      <c r="A407" s="431"/>
      <c r="B407" s="431"/>
      <c r="C407" s="431"/>
      <c r="D407" s="433"/>
      <c r="E407" s="433"/>
      <c r="F407" s="431"/>
      <c r="G407" s="431"/>
      <c r="H407" s="431"/>
      <c r="I407" s="436"/>
      <c r="J407" s="437"/>
    </row>
    <row r="408">
      <c r="A408" s="431"/>
      <c r="B408" s="431"/>
      <c r="C408" s="431"/>
      <c r="D408" s="433"/>
      <c r="E408" s="433"/>
      <c r="F408" s="431"/>
      <c r="G408" s="431"/>
      <c r="H408" s="431"/>
      <c r="I408" s="436"/>
      <c r="J408" s="437"/>
    </row>
    <row r="409">
      <c r="A409" s="431"/>
      <c r="B409" s="431"/>
      <c r="C409" s="431"/>
      <c r="D409" s="433"/>
      <c r="E409" s="433"/>
      <c r="F409" s="431"/>
      <c r="G409" s="431"/>
      <c r="H409" s="431"/>
      <c r="I409" s="436"/>
      <c r="J409" s="437"/>
    </row>
    <row r="410">
      <c r="A410" s="431"/>
      <c r="B410" s="431"/>
      <c r="C410" s="431"/>
      <c r="D410" s="433"/>
      <c r="E410" s="433"/>
      <c r="F410" s="431"/>
      <c r="G410" s="431"/>
      <c r="H410" s="431"/>
      <c r="I410" s="436"/>
      <c r="J410" s="437"/>
    </row>
    <row r="411">
      <c r="A411" s="431"/>
      <c r="B411" s="431"/>
      <c r="C411" s="431"/>
      <c r="D411" s="433"/>
      <c r="E411" s="433"/>
      <c r="F411" s="431"/>
      <c r="G411" s="431"/>
      <c r="H411" s="431"/>
      <c r="I411" s="436"/>
      <c r="J411" s="437"/>
    </row>
    <row r="412">
      <c r="A412" s="431"/>
      <c r="B412" s="431"/>
      <c r="C412" s="431"/>
      <c r="D412" s="433"/>
      <c r="E412" s="433"/>
      <c r="F412" s="431"/>
      <c r="G412" s="431"/>
      <c r="H412" s="431"/>
      <c r="I412" s="436"/>
      <c r="J412" s="437"/>
    </row>
    <row r="413">
      <c r="A413" s="431"/>
      <c r="B413" s="431"/>
      <c r="C413" s="431"/>
      <c r="D413" s="433"/>
      <c r="E413" s="433"/>
      <c r="F413" s="431"/>
      <c r="G413" s="431"/>
      <c r="H413" s="431"/>
      <c r="I413" s="436"/>
      <c r="J413" s="437"/>
    </row>
    <row r="414">
      <c r="A414" s="431"/>
      <c r="B414" s="431"/>
      <c r="C414" s="431"/>
      <c r="D414" s="433"/>
      <c r="E414" s="433"/>
      <c r="F414" s="431"/>
      <c r="G414" s="431"/>
      <c r="H414" s="431"/>
      <c r="I414" s="436"/>
      <c r="J414" s="437"/>
    </row>
    <row r="415">
      <c r="A415" s="431"/>
      <c r="B415" s="431"/>
      <c r="C415" s="431"/>
      <c r="D415" s="433"/>
      <c r="E415" s="433"/>
      <c r="F415" s="431"/>
      <c r="G415" s="431"/>
      <c r="H415" s="431"/>
      <c r="I415" s="436"/>
      <c r="J415" s="437"/>
    </row>
    <row r="416">
      <c r="A416" s="431"/>
      <c r="B416" s="431"/>
      <c r="C416" s="431"/>
      <c r="D416" s="433"/>
      <c r="E416" s="433"/>
      <c r="F416" s="431"/>
      <c r="G416" s="431"/>
      <c r="H416" s="431"/>
      <c r="I416" s="436"/>
      <c r="J416" s="437"/>
    </row>
    <row r="417">
      <c r="A417" s="431"/>
      <c r="B417" s="431"/>
      <c r="C417" s="431"/>
      <c r="D417" s="433"/>
      <c r="E417" s="433"/>
      <c r="F417" s="431"/>
      <c r="G417" s="431"/>
      <c r="H417" s="431"/>
      <c r="I417" s="436"/>
      <c r="J417" s="437"/>
    </row>
    <row r="418">
      <c r="A418" s="431"/>
      <c r="B418" s="431"/>
      <c r="C418" s="431"/>
      <c r="D418" s="433"/>
      <c r="E418" s="433"/>
      <c r="F418" s="431"/>
      <c r="G418" s="431"/>
      <c r="H418" s="431"/>
      <c r="I418" s="436"/>
      <c r="J418" s="437"/>
    </row>
    <row r="419">
      <c r="A419" s="431"/>
      <c r="B419" s="431"/>
      <c r="C419" s="431"/>
      <c r="D419" s="433"/>
      <c r="E419" s="433"/>
      <c r="F419" s="431"/>
      <c r="G419" s="431"/>
      <c r="H419" s="431"/>
      <c r="I419" s="436"/>
      <c r="J419" s="437"/>
    </row>
    <row r="420">
      <c r="A420" s="431"/>
      <c r="B420" s="431"/>
      <c r="C420" s="431"/>
      <c r="D420" s="433"/>
      <c r="E420" s="433"/>
      <c r="F420" s="431"/>
      <c r="G420" s="431"/>
      <c r="H420" s="431"/>
      <c r="I420" s="436"/>
      <c r="J420" s="437"/>
    </row>
    <row r="421">
      <c r="A421" s="431"/>
      <c r="B421" s="431"/>
      <c r="C421" s="431"/>
      <c r="D421" s="433"/>
      <c r="E421" s="433"/>
      <c r="F421" s="431"/>
      <c r="G421" s="431"/>
      <c r="H421" s="431"/>
      <c r="I421" s="436"/>
      <c r="J421" s="437"/>
    </row>
    <row r="422">
      <c r="A422" s="431"/>
      <c r="B422" s="431"/>
      <c r="C422" s="431"/>
      <c r="D422" s="433"/>
      <c r="E422" s="433"/>
      <c r="F422" s="431"/>
      <c r="G422" s="431"/>
      <c r="H422" s="431"/>
      <c r="I422" s="436"/>
      <c r="J422" s="437"/>
    </row>
    <row r="423">
      <c r="A423" s="431"/>
      <c r="B423" s="431"/>
      <c r="C423" s="431"/>
      <c r="D423" s="433"/>
      <c r="E423" s="433"/>
      <c r="F423" s="431"/>
      <c r="G423" s="431"/>
      <c r="H423" s="431"/>
      <c r="I423" s="436"/>
      <c r="J423" s="437"/>
    </row>
    <row r="424">
      <c r="A424" s="431"/>
      <c r="B424" s="431"/>
      <c r="C424" s="431"/>
      <c r="D424" s="433"/>
      <c r="E424" s="433"/>
      <c r="F424" s="431"/>
      <c r="G424" s="431"/>
      <c r="H424" s="431"/>
      <c r="I424" s="436"/>
      <c r="J424" s="437"/>
    </row>
    <row r="425">
      <c r="A425" s="431"/>
      <c r="B425" s="431"/>
      <c r="C425" s="431"/>
      <c r="D425" s="433"/>
      <c r="E425" s="433"/>
      <c r="F425" s="431"/>
      <c r="G425" s="431"/>
      <c r="H425" s="431"/>
      <c r="I425" s="436"/>
      <c r="J425" s="437"/>
    </row>
    <row r="426">
      <c r="A426" s="431"/>
      <c r="B426" s="431"/>
      <c r="C426" s="431"/>
      <c r="D426" s="433"/>
      <c r="E426" s="433"/>
      <c r="F426" s="431"/>
      <c r="G426" s="431"/>
      <c r="H426" s="431"/>
      <c r="I426" s="436"/>
      <c r="J426" s="437"/>
    </row>
    <row r="427">
      <c r="A427" s="431"/>
      <c r="B427" s="431"/>
      <c r="C427" s="431"/>
      <c r="D427" s="433"/>
      <c r="E427" s="433"/>
      <c r="F427" s="431"/>
      <c r="G427" s="431"/>
      <c r="H427" s="431"/>
      <c r="I427" s="436"/>
      <c r="J427" s="437"/>
    </row>
    <row r="428">
      <c r="A428" s="431"/>
      <c r="B428" s="431"/>
      <c r="C428" s="431"/>
      <c r="D428" s="433"/>
      <c r="E428" s="433"/>
      <c r="F428" s="431"/>
      <c r="G428" s="431"/>
      <c r="H428" s="431"/>
      <c r="I428" s="436"/>
      <c r="J428" s="437"/>
    </row>
    <row r="429">
      <c r="A429" s="431"/>
      <c r="B429" s="431"/>
      <c r="C429" s="431"/>
      <c r="D429" s="433"/>
      <c r="E429" s="433"/>
      <c r="F429" s="431"/>
      <c r="G429" s="431"/>
      <c r="H429" s="431"/>
      <c r="I429" s="436"/>
      <c r="J429" s="437"/>
    </row>
    <row r="430">
      <c r="A430" s="431"/>
      <c r="B430" s="431"/>
      <c r="C430" s="431"/>
      <c r="D430" s="433"/>
      <c r="E430" s="433"/>
      <c r="F430" s="431"/>
      <c r="G430" s="431"/>
      <c r="H430" s="431"/>
      <c r="I430" s="436"/>
      <c r="J430" s="437"/>
    </row>
    <row r="431">
      <c r="A431" s="431"/>
      <c r="B431" s="431"/>
      <c r="C431" s="431"/>
      <c r="D431" s="433"/>
      <c r="E431" s="433"/>
      <c r="F431" s="431"/>
      <c r="G431" s="431"/>
      <c r="H431" s="431"/>
      <c r="I431" s="436"/>
      <c r="J431" s="437"/>
    </row>
    <row r="432">
      <c r="A432" s="431"/>
      <c r="B432" s="431"/>
      <c r="C432" s="431"/>
      <c r="D432" s="433"/>
      <c r="E432" s="433"/>
      <c r="F432" s="431"/>
      <c r="G432" s="431"/>
      <c r="H432" s="431"/>
      <c r="I432" s="436"/>
      <c r="J432" s="437"/>
    </row>
    <row r="433">
      <c r="A433" s="431"/>
      <c r="B433" s="431"/>
      <c r="C433" s="431"/>
      <c r="D433" s="433"/>
      <c r="E433" s="433"/>
      <c r="F433" s="431"/>
      <c r="G433" s="431"/>
      <c r="H433" s="431"/>
      <c r="I433" s="436"/>
      <c r="J433" s="437"/>
    </row>
    <row r="434">
      <c r="A434" s="431"/>
      <c r="B434" s="431"/>
      <c r="C434" s="431"/>
      <c r="D434" s="433"/>
      <c r="E434" s="433"/>
      <c r="F434" s="431"/>
      <c r="G434" s="431"/>
      <c r="H434" s="431"/>
      <c r="I434" s="436"/>
      <c r="J434" s="437"/>
    </row>
    <row r="435">
      <c r="A435" s="431"/>
      <c r="B435" s="431"/>
      <c r="C435" s="431"/>
      <c r="D435" s="433"/>
      <c r="E435" s="433"/>
      <c r="F435" s="431"/>
      <c r="G435" s="431"/>
      <c r="H435" s="431"/>
      <c r="I435" s="436"/>
      <c r="J435" s="437"/>
    </row>
    <row r="436">
      <c r="A436" s="431"/>
      <c r="B436" s="431"/>
      <c r="C436" s="431"/>
      <c r="D436" s="433"/>
      <c r="E436" s="433"/>
      <c r="F436" s="431"/>
      <c r="G436" s="431"/>
      <c r="H436" s="431"/>
      <c r="I436" s="436"/>
      <c r="J436" s="437"/>
    </row>
    <row r="437">
      <c r="A437" s="431"/>
      <c r="B437" s="431"/>
      <c r="C437" s="431"/>
      <c r="D437" s="433"/>
      <c r="E437" s="433"/>
      <c r="F437" s="431"/>
      <c r="G437" s="431"/>
      <c r="H437" s="431"/>
      <c r="I437" s="436"/>
      <c r="J437" s="437"/>
    </row>
    <row r="438">
      <c r="A438" s="431"/>
      <c r="B438" s="431"/>
      <c r="C438" s="431"/>
      <c r="D438" s="433"/>
      <c r="E438" s="433"/>
      <c r="F438" s="431"/>
      <c r="G438" s="431"/>
      <c r="H438" s="431"/>
      <c r="I438" s="436"/>
      <c r="J438" s="437"/>
    </row>
    <row r="439">
      <c r="A439" s="431"/>
      <c r="B439" s="431"/>
      <c r="C439" s="431"/>
      <c r="D439" s="433"/>
      <c r="E439" s="433"/>
      <c r="F439" s="431"/>
      <c r="G439" s="431"/>
      <c r="H439" s="431"/>
      <c r="I439" s="436"/>
      <c r="J439" s="437"/>
    </row>
    <row r="440">
      <c r="A440" s="431"/>
      <c r="B440" s="431"/>
      <c r="C440" s="431"/>
      <c r="D440" s="433"/>
      <c r="E440" s="433"/>
      <c r="F440" s="431"/>
      <c r="G440" s="431"/>
      <c r="H440" s="431"/>
      <c r="I440" s="436"/>
      <c r="J440" s="437"/>
    </row>
    <row r="441">
      <c r="A441" s="431"/>
      <c r="B441" s="431"/>
      <c r="C441" s="431"/>
      <c r="D441" s="433"/>
      <c r="E441" s="433"/>
      <c r="F441" s="431"/>
      <c r="G441" s="431"/>
      <c r="H441" s="431"/>
      <c r="I441" s="436"/>
      <c r="J441" s="437"/>
    </row>
    <row r="442">
      <c r="A442" s="431"/>
      <c r="B442" s="431"/>
      <c r="C442" s="431"/>
      <c r="D442" s="433"/>
      <c r="E442" s="433"/>
      <c r="F442" s="431"/>
      <c r="G442" s="431"/>
      <c r="H442" s="431"/>
      <c r="I442" s="436"/>
      <c r="J442" s="437"/>
    </row>
    <row r="443">
      <c r="A443" s="431"/>
      <c r="B443" s="431"/>
      <c r="C443" s="431"/>
      <c r="D443" s="433"/>
      <c r="E443" s="433"/>
      <c r="F443" s="431"/>
      <c r="G443" s="431"/>
      <c r="H443" s="431"/>
      <c r="I443" s="436"/>
      <c r="J443" s="437"/>
    </row>
    <row r="444">
      <c r="A444" s="431"/>
      <c r="B444" s="431"/>
      <c r="C444" s="431"/>
      <c r="D444" s="433"/>
      <c r="E444" s="433"/>
      <c r="F444" s="431"/>
      <c r="G444" s="431"/>
      <c r="H444" s="431"/>
      <c r="I444" s="436"/>
      <c r="J444" s="437"/>
    </row>
    <row r="445">
      <c r="A445" s="431"/>
      <c r="B445" s="431"/>
      <c r="C445" s="431"/>
      <c r="D445" s="433"/>
      <c r="E445" s="433"/>
      <c r="F445" s="431"/>
      <c r="G445" s="431"/>
      <c r="H445" s="431"/>
      <c r="I445" s="436"/>
      <c r="J445" s="437"/>
    </row>
    <row r="446">
      <c r="A446" s="431"/>
      <c r="B446" s="431"/>
      <c r="C446" s="431"/>
      <c r="D446" s="433"/>
      <c r="E446" s="433"/>
      <c r="F446" s="431"/>
      <c r="G446" s="431"/>
      <c r="H446" s="431"/>
      <c r="I446" s="436"/>
      <c r="J446" s="437"/>
    </row>
    <row r="447">
      <c r="A447" s="431"/>
      <c r="B447" s="431"/>
      <c r="C447" s="431"/>
      <c r="D447" s="433"/>
      <c r="E447" s="433"/>
      <c r="F447" s="431"/>
      <c r="G447" s="431"/>
      <c r="H447" s="431"/>
      <c r="I447" s="436"/>
      <c r="J447" s="437"/>
    </row>
    <row r="448">
      <c r="A448" s="431"/>
      <c r="B448" s="431"/>
      <c r="C448" s="431"/>
      <c r="D448" s="433"/>
      <c r="E448" s="433"/>
      <c r="F448" s="431"/>
      <c r="G448" s="431"/>
      <c r="H448" s="431"/>
      <c r="I448" s="436"/>
      <c r="J448" s="437"/>
    </row>
    <row r="449">
      <c r="A449" s="431"/>
      <c r="B449" s="431"/>
      <c r="C449" s="431"/>
      <c r="D449" s="433"/>
      <c r="E449" s="433"/>
      <c r="F449" s="431"/>
      <c r="G449" s="431"/>
      <c r="H449" s="431"/>
      <c r="I449" s="436"/>
      <c r="J449" s="437"/>
    </row>
    <row r="450">
      <c r="A450" s="431"/>
      <c r="B450" s="431"/>
      <c r="C450" s="431"/>
      <c r="D450" s="433"/>
      <c r="E450" s="433"/>
      <c r="F450" s="431"/>
      <c r="G450" s="431"/>
      <c r="H450" s="431"/>
      <c r="I450" s="436"/>
      <c r="J450" s="437"/>
    </row>
    <row r="451">
      <c r="A451" s="431"/>
      <c r="B451" s="431"/>
      <c r="C451" s="431"/>
      <c r="D451" s="433"/>
      <c r="E451" s="433"/>
      <c r="F451" s="431"/>
      <c r="G451" s="431"/>
      <c r="H451" s="431"/>
      <c r="I451" s="436"/>
      <c r="J451" s="437"/>
    </row>
    <row r="452">
      <c r="A452" s="431"/>
      <c r="B452" s="431"/>
      <c r="C452" s="431"/>
      <c r="D452" s="433"/>
      <c r="E452" s="433"/>
      <c r="F452" s="431"/>
      <c r="G452" s="431"/>
      <c r="H452" s="431"/>
      <c r="I452" s="436"/>
      <c r="J452" s="437"/>
    </row>
    <row r="453">
      <c r="A453" s="431"/>
      <c r="B453" s="431"/>
      <c r="C453" s="431"/>
      <c r="D453" s="433"/>
      <c r="E453" s="433"/>
      <c r="F453" s="431"/>
      <c r="G453" s="431"/>
      <c r="H453" s="431"/>
      <c r="I453" s="436"/>
      <c r="J453" s="437"/>
    </row>
    <row r="454">
      <c r="A454" s="431"/>
      <c r="B454" s="431"/>
      <c r="C454" s="431"/>
      <c r="D454" s="433"/>
      <c r="E454" s="433"/>
      <c r="F454" s="431"/>
      <c r="G454" s="431"/>
      <c r="H454" s="431"/>
      <c r="I454" s="436"/>
      <c r="J454" s="437"/>
    </row>
    <row r="455">
      <c r="A455" s="431"/>
      <c r="B455" s="431"/>
      <c r="C455" s="431"/>
      <c r="D455" s="433"/>
      <c r="E455" s="433"/>
      <c r="F455" s="431"/>
      <c r="G455" s="431"/>
      <c r="H455" s="431"/>
      <c r="I455" s="436"/>
      <c r="J455" s="437"/>
    </row>
    <row r="456">
      <c r="A456" s="431"/>
      <c r="B456" s="431"/>
      <c r="C456" s="431"/>
      <c r="D456" s="433"/>
      <c r="E456" s="433"/>
      <c r="F456" s="431"/>
      <c r="G456" s="431"/>
      <c r="H456" s="431"/>
      <c r="I456" s="436"/>
      <c r="J456" s="437"/>
    </row>
    <row r="457">
      <c r="A457" s="431"/>
      <c r="B457" s="431"/>
      <c r="C457" s="431"/>
      <c r="D457" s="433"/>
      <c r="E457" s="433"/>
      <c r="F457" s="431"/>
      <c r="G457" s="431"/>
      <c r="H457" s="431"/>
      <c r="I457" s="436"/>
      <c r="J457" s="437"/>
    </row>
    <row r="458">
      <c r="A458" s="431"/>
      <c r="B458" s="431"/>
      <c r="C458" s="431"/>
      <c r="D458" s="433"/>
      <c r="E458" s="433"/>
      <c r="F458" s="431"/>
      <c r="G458" s="431"/>
      <c r="H458" s="431"/>
      <c r="I458" s="436"/>
      <c r="J458" s="437"/>
    </row>
    <row r="459">
      <c r="A459" s="431"/>
      <c r="B459" s="431"/>
      <c r="C459" s="431"/>
      <c r="D459" s="433"/>
      <c r="E459" s="433"/>
      <c r="F459" s="431"/>
      <c r="G459" s="431"/>
      <c r="H459" s="431"/>
      <c r="I459" s="436"/>
      <c r="J459" s="437"/>
    </row>
    <row r="460">
      <c r="A460" s="431"/>
      <c r="B460" s="431"/>
      <c r="C460" s="431"/>
      <c r="D460" s="433"/>
      <c r="E460" s="433"/>
      <c r="F460" s="431"/>
      <c r="G460" s="431"/>
      <c r="H460" s="431"/>
      <c r="I460" s="436"/>
      <c r="J460" s="437"/>
    </row>
    <row r="461">
      <c r="A461" s="431"/>
      <c r="B461" s="431"/>
      <c r="C461" s="431"/>
      <c r="D461" s="433"/>
      <c r="E461" s="433"/>
      <c r="F461" s="431"/>
      <c r="G461" s="431"/>
      <c r="H461" s="431"/>
      <c r="I461" s="436"/>
      <c r="J461" s="437"/>
    </row>
    <row r="462">
      <c r="A462" s="431"/>
      <c r="B462" s="431"/>
      <c r="C462" s="431"/>
      <c r="D462" s="433"/>
      <c r="E462" s="433"/>
      <c r="F462" s="431"/>
      <c r="G462" s="431"/>
      <c r="H462" s="431"/>
      <c r="I462" s="436"/>
      <c r="J462" s="437"/>
    </row>
    <row r="463">
      <c r="A463" s="431"/>
      <c r="B463" s="431"/>
      <c r="C463" s="431"/>
      <c r="D463" s="433"/>
      <c r="E463" s="433"/>
      <c r="F463" s="431"/>
      <c r="G463" s="431"/>
      <c r="H463" s="431"/>
      <c r="I463" s="436"/>
      <c r="J463" s="437"/>
    </row>
    <row r="464">
      <c r="A464" s="431"/>
      <c r="B464" s="431"/>
      <c r="C464" s="431"/>
      <c r="D464" s="433"/>
      <c r="E464" s="433"/>
      <c r="F464" s="431"/>
      <c r="G464" s="431"/>
      <c r="H464" s="431"/>
      <c r="I464" s="436"/>
      <c r="J464" s="437"/>
    </row>
    <row r="465">
      <c r="A465" s="431"/>
      <c r="B465" s="431"/>
      <c r="C465" s="431"/>
      <c r="D465" s="433"/>
      <c r="E465" s="433"/>
      <c r="F465" s="431"/>
      <c r="G465" s="431"/>
      <c r="H465" s="431"/>
      <c r="I465" s="436"/>
      <c r="J465" s="437"/>
    </row>
    <row r="466">
      <c r="A466" s="431"/>
      <c r="B466" s="431"/>
      <c r="C466" s="431"/>
      <c r="D466" s="433"/>
      <c r="E466" s="433"/>
      <c r="F466" s="431"/>
      <c r="G466" s="431"/>
      <c r="H466" s="431"/>
      <c r="I466" s="436"/>
      <c r="J466" s="437"/>
    </row>
    <row r="467">
      <c r="A467" s="431"/>
      <c r="B467" s="431"/>
      <c r="C467" s="431"/>
      <c r="D467" s="433"/>
      <c r="E467" s="433"/>
      <c r="F467" s="431"/>
      <c r="G467" s="431"/>
      <c r="H467" s="431"/>
      <c r="I467" s="436"/>
      <c r="J467" s="437"/>
    </row>
    <row r="468">
      <c r="A468" s="431"/>
      <c r="B468" s="431"/>
      <c r="C468" s="431"/>
      <c r="D468" s="433"/>
      <c r="E468" s="433"/>
      <c r="F468" s="431"/>
      <c r="G468" s="431"/>
      <c r="H468" s="431"/>
      <c r="I468" s="436"/>
      <c r="J468" s="437"/>
    </row>
    <row r="469">
      <c r="A469" s="431"/>
      <c r="B469" s="431"/>
      <c r="C469" s="431"/>
      <c r="D469" s="433"/>
      <c r="E469" s="433"/>
      <c r="F469" s="431"/>
      <c r="G469" s="431"/>
      <c r="H469" s="431"/>
      <c r="I469" s="436"/>
      <c r="J469" s="437"/>
    </row>
    <row r="470">
      <c r="A470" s="431"/>
      <c r="B470" s="431"/>
      <c r="C470" s="431"/>
      <c r="D470" s="433"/>
      <c r="E470" s="433"/>
      <c r="F470" s="431"/>
      <c r="G470" s="431"/>
      <c r="H470" s="431"/>
      <c r="I470" s="436"/>
      <c r="J470" s="437"/>
    </row>
    <row r="471">
      <c r="A471" s="431"/>
      <c r="B471" s="431"/>
      <c r="C471" s="431"/>
      <c r="D471" s="433"/>
      <c r="E471" s="433"/>
      <c r="F471" s="431"/>
      <c r="G471" s="431"/>
      <c r="H471" s="431"/>
      <c r="I471" s="436"/>
      <c r="J471" s="437"/>
    </row>
    <row r="472">
      <c r="A472" s="431"/>
      <c r="B472" s="431"/>
      <c r="C472" s="431"/>
      <c r="D472" s="433"/>
      <c r="E472" s="433"/>
      <c r="F472" s="431"/>
      <c r="G472" s="431"/>
      <c r="H472" s="431"/>
      <c r="I472" s="436"/>
      <c r="J472" s="437"/>
    </row>
    <row r="473">
      <c r="A473" s="431"/>
      <c r="B473" s="431"/>
      <c r="C473" s="431"/>
      <c r="D473" s="433"/>
      <c r="E473" s="433"/>
      <c r="F473" s="431"/>
      <c r="G473" s="431"/>
      <c r="H473" s="431"/>
      <c r="I473" s="436"/>
      <c r="J473" s="437"/>
    </row>
    <row r="474">
      <c r="A474" s="431"/>
      <c r="B474" s="431"/>
      <c r="C474" s="431"/>
      <c r="D474" s="433"/>
      <c r="E474" s="433"/>
      <c r="F474" s="431"/>
      <c r="G474" s="431"/>
      <c r="H474" s="431"/>
      <c r="I474" s="436"/>
      <c r="J474" s="437"/>
    </row>
    <row r="475">
      <c r="A475" s="431"/>
      <c r="B475" s="431"/>
      <c r="C475" s="431"/>
      <c r="D475" s="433"/>
      <c r="E475" s="433"/>
      <c r="F475" s="431"/>
      <c r="G475" s="431"/>
      <c r="H475" s="431"/>
      <c r="I475" s="436"/>
      <c r="J475" s="437"/>
    </row>
    <row r="476">
      <c r="A476" s="431"/>
      <c r="B476" s="431"/>
      <c r="C476" s="431"/>
      <c r="D476" s="433"/>
      <c r="E476" s="433"/>
      <c r="F476" s="431"/>
      <c r="G476" s="431"/>
      <c r="H476" s="431"/>
      <c r="I476" s="436"/>
      <c r="J476" s="437"/>
    </row>
    <row r="477">
      <c r="A477" s="431"/>
      <c r="B477" s="431"/>
      <c r="C477" s="431"/>
      <c r="D477" s="433"/>
      <c r="E477" s="433"/>
      <c r="F477" s="431"/>
      <c r="G477" s="431"/>
      <c r="H477" s="431"/>
      <c r="I477" s="436"/>
      <c r="J477" s="437"/>
    </row>
    <row r="478">
      <c r="A478" s="431"/>
      <c r="B478" s="431"/>
      <c r="C478" s="431"/>
      <c r="D478" s="433"/>
      <c r="E478" s="433"/>
      <c r="F478" s="431"/>
      <c r="G478" s="431"/>
      <c r="H478" s="431"/>
      <c r="I478" s="436"/>
      <c r="J478" s="437"/>
    </row>
    <row r="479">
      <c r="A479" s="431"/>
      <c r="B479" s="431"/>
      <c r="C479" s="431"/>
      <c r="D479" s="433"/>
      <c r="E479" s="433"/>
      <c r="F479" s="431"/>
      <c r="G479" s="431"/>
      <c r="H479" s="431"/>
      <c r="I479" s="436"/>
      <c r="J479" s="437"/>
    </row>
    <row r="480">
      <c r="A480" s="431"/>
      <c r="B480" s="431"/>
      <c r="C480" s="431"/>
      <c r="D480" s="433"/>
      <c r="E480" s="433"/>
      <c r="F480" s="431"/>
      <c r="G480" s="431"/>
      <c r="H480" s="431"/>
      <c r="I480" s="436"/>
      <c r="J480" s="437"/>
    </row>
    <row r="481">
      <c r="A481" s="431"/>
      <c r="B481" s="431"/>
      <c r="C481" s="431"/>
      <c r="D481" s="433"/>
      <c r="E481" s="433"/>
      <c r="F481" s="431"/>
      <c r="G481" s="431"/>
      <c r="H481" s="431"/>
      <c r="I481" s="436"/>
      <c r="J481" s="437"/>
    </row>
    <row r="482">
      <c r="A482" s="431"/>
      <c r="B482" s="431"/>
      <c r="C482" s="431"/>
      <c r="D482" s="433"/>
      <c r="E482" s="433"/>
      <c r="F482" s="431"/>
      <c r="G482" s="431"/>
      <c r="H482" s="431"/>
      <c r="I482" s="436"/>
      <c r="J482" s="437"/>
    </row>
    <row r="483">
      <c r="A483" s="431"/>
      <c r="B483" s="431"/>
      <c r="C483" s="431"/>
      <c r="D483" s="433"/>
      <c r="E483" s="433"/>
      <c r="F483" s="431"/>
      <c r="G483" s="431"/>
      <c r="H483" s="431"/>
      <c r="I483" s="436"/>
      <c r="J483" s="437"/>
    </row>
    <row r="484">
      <c r="A484" s="431"/>
      <c r="B484" s="431"/>
      <c r="C484" s="431"/>
      <c r="D484" s="433"/>
      <c r="E484" s="433"/>
      <c r="F484" s="431"/>
      <c r="G484" s="431"/>
      <c r="H484" s="431"/>
      <c r="I484" s="436"/>
      <c r="J484" s="437"/>
    </row>
    <row r="485">
      <c r="A485" s="431"/>
      <c r="B485" s="431"/>
      <c r="C485" s="431"/>
      <c r="D485" s="433"/>
      <c r="E485" s="433"/>
      <c r="F485" s="431"/>
      <c r="G485" s="431"/>
      <c r="H485" s="431"/>
      <c r="I485" s="436"/>
      <c r="J485" s="437"/>
    </row>
    <row r="486">
      <c r="A486" s="431"/>
      <c r="B486" s="431"/>
      <c r="C486" s="431"/>
      <c r="D486" s="433"/>
      <c r="E486" s="433"/>
      <c r="F486" s="431"/>
      <c r="G486" s="431"/>
      <c r="H486" s="431"/>
      <c r="I486" s="436"/>
      <c r="J486" s="437"/>
    </row>
    <row r="487">
      <c r="A487" s="431"/>
      <c r="B487" s="431"/>
      <c r="C487" s="431"/>
      <c r="D487" s="433"/>
      <c r="E487" s="433"/>
      <c r="F487" s="431"/>
      <c r="G487" s="431"/>
      <c r="H487" s="431"/>
      <c r="I487" s="436"/>
      <c r="J487" s="437"/>
    </row>
    <row r="488">
      <c r="A488" s="431"/>
      <c r="B488" s="431"/>
      <c r="C488" s="431"/>
      <c r="D488" s="433"/>
      <c r="E488" s="433"/>
      <c r="F488" s="431"/>
      <c r="G488" s="431"/>
      <c r="H488" s="431"/>
      <c r="I488" s="436"/>
      <c r="J488" s="437"/>
    </row>
    <row r="489">
      <c r="A489" s="431"/>
      <c r="B489" s="431"/>
      <c r="C489" s="431"/>
      <c r="D489" s="433"/>
      <c r="E489" s="433"/>
      <c r="F489" s="431"/>
      <c r="G489" s="431"/>
      <c r="H489" s="431"/>
      <c r="I489" s="436"/>
      <c r="J489" s="437"/>
    </row>
    <row r="490">
      <c r="A490" s="431"/>
      <c r="B490" s="431"/>
      <c r="C490" s="431"/>
      <c r="D490" s="433"/>
      <c r="E490" s="433"/>
      <c r="F490" s="431"/>
      <c r="G490" s="431"/>
      <c r="H490" s="431"/>
      <c r="I490" s="436"/>
      <c r="J490" s="437"/>
    </row>
    <row r="491">
      <c r="A491" s="431"/>
      <c r="B491" s="431"/>
      <c r="C491" s="431"/>
      <c r="D491" s="433"/>
      <c r="E491" s="433"/>
      <c r="F491" s="431"/>
      <c r="G491" s="431"/>
      <c r="H491" s="431"/>
      <c r="I491" s="436"/>
      <c r="J491" s="437"/>
    </row>
    <row r="492">
      <c r="A492" s="431"/>
      <c r="B492" s="431"/>
      <c r="C492" s="431"/>
      <c r="D492" s="433"/>
      <c r="E492" s="433"/>
      <c r="F492" s="431"/>
      <c r="G492" s="431"/>
      <c r="H492" s="431"/>
      <c r="I492" s="436"/>
      <c r="J492" s="437"/>
    </row>
    <row r="493">
      <c r="A493" s="431"/>
      <c r="B493" s="431"/>
      <c r="C493" s="431"/>
      <c r="D493" s="433"/>
      <c r="E493" s="433"/>
      <c r="F493" s="431"/>
      <c r="G493" s="431"/>
      <c r="H493" s="431"/>
      <c r="I493" s="436"/>
      <c r="J493" s="437"/>
    </row>
    <row r="494">
      <c r="A494" s="431"/>
      <c r="B494" s="431"/>
      <c r="C494" s="431"/>
      <c r="D494" s="433"/>
      <c r="E494" s="433"/>
      <c r="F494" s="431"/>
      <c r="G494" s="431"/>
      <c r="H494" s="431"/>
      <c r="I494" s="436"/>
      <c r="J494" s="437"/>
    </row>
    <row r="495">
      <c r="A495" s="431"/>
      <c r="B495" s="431"/>
      <c r="C495" s="431"/>
      <c r="D495" s="433"/>
      <c r="E495" s="433"/>
      <c r="F495" s="431"/>
      <c r="G495" s="431"/>
      <c r="H495" s="431"/>
      <c r="I495" s="436"/>
      <c r="J495" s="437"/>
    </row>
    <row r="496">
      <c r="A496" s="431"/>
      <c r="B496" s="431"/>
      <c r="C496" s="431"/>
      <c r="D496" s="433"/>
      <c r="E496" s="433"/>
      <c r="F496" s="431"/>
      <c r="G496" s="431"/>
      <c r="H496" s="431"/>
      <c r="I496" s="436"/>
      <c r="J496" s="437"/>
    </row>
    <row r="497">
      <c r="A497" s="431"/>
      <c r="B497" s="431"/>
      <c r="C497" s="431"/>
      <c r="D497" s="433"/>
      <c r="E497" s="433"/>
      <c r="F497" s="431"/>
      <c r="G497" s="431"/>
      <c r="H497" s="431"/>
      <c r="I497" s="436"/>
      <c r="J497" s="437"/>
    </row>
    <row r="498">
      <c r="A498" s="431"/>
      <c r="B498" s="431"/>
      <c r="C498" s="431"/>
      <c r="D498" s="433"/>
      <c r="E498" s="433"/>
      <c r="F498" s="431"/>
      <c r="G498" s="431"/>
      <c r="H498" s="431"/>
      <c r="I498" s="436"/>
      <c r="J498" s="437"/>
    </row>
    <row r="499">
      <c r="A499" s="431"/>
      <c r="B499" s="431"/>
      <c r="C499" s="431"/>
      <c r="D499" s="433"/>
      <c r="E499" s="433"/>
      <c r="F499" s="431"/>
      <c r="G499" s="431"/>
      <c r="H499" s="431"/>
      <c r="I499" s="436"/>
      <c r="J499" s="437"/>
    </row>
    <row r="500">
      <c r="A500" s="431"/>
      <c r="B500" s="431"/>
      <c r="C500" s="431"/>
      <c r="D500" s="433"/>
      <c r="E500" s="433"/>
      <c r="F500" s="431"/>
      <c r="G500" s="431"/>
      <c r="H500" s="431"/>
      <c r="I500" s="436"/>
      <c r="J500" s="437"/>
    </row>
    <row r="501">
      <c r="A501" s="431"/>
      <c r="B501" s="431"/>
      <c r="C501" s="431"/>
      <c r="D501" s="433"/>
      <c r="E501" s="433"/>
      <c r="F501" s="431"/>
      <c r="G501" s="431"/>
      <c r="H501" s="431"/>
      <c r="I501" s="436"/>
      <c r="J501" s="437"/>
    </row>
    <row r="502">
      <c r="A502" s="431"/>
      <c r="B502" s="431"/>
      <c r="C502" s="431"/>
      <c r="D502" s="433"/>
      <c r="E502" s="433"/>
      <c r="F502" s="431"/>
      <c r="G502" s="431"/>
      <c r="H502" s="431"/>
      <c r="I502" s="436"/>
      <c r="J502" s="437"/>
    </row>
    <row r="503">
      <c r="A503" s="431"/>
      <c r="B503" s="431"/>
      <c r="C503" s="431"/>
      <c r="D503" s="433"/>
      <c r="E503" s="433"/>
      <c r="F503" s="431"/>
      <c r="G503" s="431"/>
      <c r="H503" s="431"/>
      <c r="I503" s="436"/>
      <c r="J503" s="437"/>
    </row>
    <row r="504">
      <c r="A504" s="431"/>
      <c r="B504" s="431"/>
      <c r="C504" s="431"/>
      <c r="D504" s="433"/>
      <c r="E504" s="433"/>
      <c r="F504" s="431"/>
      <c r="G504" s="431"/>
      <c r="H504" s="431"/>
      <c r="I504" s="436"/>
      <c r="J504" s="437"/>
    </row>
    <row r="505">
      <c r="A505" s="431"/>
      <c r="B505" s="431"/>
      <c r="C505" s="431"/>
      <c r="D505" s="433"/>
      <c r="E505" s="433"/>
      <c r="F505" s="431"/>
      <c r="G505" s="431"/>
      <c r="H505" s="431"/>
      <c r="I505" s="436"/>
      <c r="J505" s="437"/>
    </row>
    <row r="506">
      <c r="A506" s="431"/>
      <c r="B506" s="431"/>
      <c r="C506" s="431"/>
      <c r="D506" s="433"/>
      <c r="E506" s="433"/>
      <c r="F506" s="431"/>
      <c r="G506" s="431"/>
      <c r="H506" s="431"/>
      <c r="I506" s="436"/>
      <c r="J506" s="437"/>
    </row>
    <row r="507">
      <c r="A507" s="431"/>
      <c r="B507" s="431"/>
      <c r="C507" s="431"/>
      <c r="D507" s="433"/>
      <c r="E507" s="433"/>
      <c r="F507" s="431"/>
      <c r="G507" s="431"/>
      <c r="H507" s="431"/>
      <c r="I507" s="436"/>
      <c r="J507" s="437"/>
    </row>
    <row r="508">
      <c r="A508" s="431"/>
      <c r="B508" s="431"/>
      <c r="C508" s="431"/>
      <c r="D508" s="433"/>
      <c r="E508" s="433"/>
      <c r="F508" s="431"/>
      <c r="G508" s="431"/>
      <c r="H508" s="431"/>
      <c r="I508" s="436"/>
      <c r="J508" s="437"/>
    </row>
    <row r="509">
      <c r="A509" s="431"/>
      <c r="B509" s="431"/>
      <c r="C509" s="431"/>
      <c r="D509" s="433"/>
      <c r="E509" s="433"/>
      <c r="F509" s="431"/>
      <c r="G509" s="431"/>
      <c r="H509" s="431"/>
      <c r="I509" s="436"/>
      <c r="J509" s="437"/>
    </row>
    <row r="510">
      <c r="A510" s="431"/>
      <c r="B510" s="431"/>
      <c r="C510" s="431"/>
      <c r="D510" s="433"/>
      <c r="E510" s="433"/>
      <c r="F510" s="431"/>
      <c r="G510" s="431"/>
      <c r="H510" s="431"/>
      <c r="I510" s="436"/>
      <c r="J510" s="437"/>
    </row>
    <row r="511">
      <c r="A511" s="431"/>
      <c r="B511" s="431"/>
      <c r="C511" s="431"/>
      <c r="D511" s="433"/>
      <c r="E511" s="433"/>
      <c r="F511" s="431"/>
      <c r="G511" s="431"/>
      <c r="H511" s="431"/>
      <c r="I511" s="436"/>
      <c r="J511" s="437"/>
    </row>
    <row r="512">
      <c r="A512" s="431"/>
      <c r="B512" s="431"/>
      <c r="C512" s="431"/>
      <c r="D512" s="433"/>
      <c r="E512" s="433"/>
      <c r="F512" s="431"/>
      <c r="G512" s="431"/>
      <c r="H512" s="431"/>
      <c r="I512" s="436"/>
      <c r="J512" s="437"/>
    </row>
    <row r="513">
      <c r="A513" s="431"/>
      <c r="B513" s="431"/>
      <c r="C513" s="431"/>
      <c r="D513" s="433"/>
      <c r="E513" s="433"/>
      <c r="F513" s="431"/>
      <c r="G513" s="431"/>
      <c r="H513" s="431"/>
      <c r="I513" s="436"/>
      <c r="J513" s="437"/>
    </row>
    <row r="514">
      <c r="A514" s="431"/>
      <c r="B514" s="431"/>
      <c r="C514" s="431"/>
      <c r="D514" s="433"/>
      <c r="E514" s="433"/>
      <c r="F514" s="431"/>
      <c r="G514" s="431"/>
      <c r="H514" s="431"/>
      <c r="I514" s="436"/>
      <c r="J514" s="437"/>
    </row>
    <row r="515">
      <c r="A515" s="431"/>
      <c r="B515" s="431"/>
      <c r="C515" s="431"/>
      <c r="D515" s="433"/>
      <c r="E515" s="433"/>
      <c r="F515" s="431"/>
      <c r="G515" s="431"/>
      <c r="H515" s="431"/>
      <c r="I515" s="436"/>
      <c r="J515" s="437"/>
    </row>
    <row r="516">
      <c r="A516" s="431"/>
      <c r="B516" s="431"/>
      <c r="C516" s="431"/>
      <c r="D516" s="433"/>
      <c r="E516" s="433"/>
      <c r="F516" s="431"/>
      <c r="G516" s="431"/>
      <c r="H516" s="431"/>
      <c r="I516" s="436"/>
      <c r="J516" s="437"/>
    </row>
    <row r="517">
      <c r="A517" s="431"/>
      <c r="B517" s="431"/>
      <c r="C517" s="431"/>
      <c r="D517" s="433"/>
      <c r="E517" s="433"/>
      <c r="F517" s="431"/>
      <c r="G517" s="431"/>
      <c r="H517" s="431"/>
      <c r="I517" s="436"/>
      <c r="J517" s="437"/>
    </row>
    <row r="518">
      <c r="A518" s="431"/>
      <c r="B518" s="431"/>
      <c r="C518" s="431"/>
      <c r="D518" s="433"/>
      <c r="E518" s="433"/>
      <c r="F518" s="431"/>
      <c r="G518" s="431"/>
      <c r="H518" s="431"/>
      <c r="I518" s="436"/>
      <c r="J518" s="437"/>
    </row>
    <row r="519">
      <c r="A519" s="431"/>
      <c r="B519" s="431"/>
      <c r="C519" s="431"/>
      <c r="D519" s="433"/>
      <c r="E519" s="433"/>
      <c r="F519" s="431"/>
      <c r="G519" s="431"/>
      <c r="H519" s="431"/>
      <c r="I519" s="436"/>
      <c r="J519" s="437"/>
    </row>
    <row r="520">
      <c r="A520" s="431"/>
      <c r="B520" s="431"/>
      <c r="C520" s="431"/>
      <c r="D520" s="433"/>
      <c r="E520" s="433"/>
      <c r="F520" s="431"/>
      <c r="G520" s="431"/>
      <c r="H520" s="431"/>
      <c r="I520" s="436"/>
      <c r="J520" s="437"/>
    </row>
    <row r="521">
      <c r="A521" s="431"/>
      <c r="B521" s="431"/>
      <c r="C521" s="431"/>
      <c r="D521" s="433"/>
      <c r="E521" s="433"/>
      <c r="F521" s="431"/>
      <c r="G521" s="431"/>
      <c r="H521" s="431"/>
      <c r="I521" s="436"/>
      <c r="J521" s="437"/>
    </row>
    <row r="522">
      <c r="A522" s="431"/>
      <c r="B522" s="431"/>
      <c r="C522" s="431"/>
      <c r="D522" s="433"/>
      <c r="E522" s="433"/>
      <c r="F522" s="431"/>
      <c r="G522" s="431"/>
      <c r="H522" s="431"/>
      <c r="I522" s="436"/>
      <c r="J522" s="437"/>
    </row>
    <row r="523">
      <c r="A523" s="431"/>
      <c r="B523" s="431"/>
      <c r="C523" s="431"/>
      <c r="D523" s="433"/>
      <c r="E523" s="433"/>
      <c r="F523" s="431"/>
      <c r="G523" s="431"/>
      <c r="H523" s="431"/>
      <c r="I523" s="436"/>
      <c r="J523" s="437"/>
    </row>
    <row r="524">
      <c r="A524" s="431"/>
      <c r="B524" s="431"/>
      <c r="C524" s="431"/>
      <c r="D524" s="433"/>
      <c r="E524" s="433"/>
      <c r="F524" s="431"/>
      <c r="G524" s="431"/>
      <c r="H524" s="431"/>
      <c r="I524" s="436"/>
      <c r="J524" s="437"/>
    </row>
    <row r="525">
      <c r="A525" s="431"/>
      <c r="B525" s="431"/>
      <c r="C525" s="431"/>
      <c r="D525" s="433"/>
      <c r="E525" s="433"/>
      <c r="F525" s="431"/>
      <c r="G525" s="431"/>
      <c r="H525" s="431"/>
      <c r="I525" s="436"/>
      <c r="J525" s="437"/>
    </row>
    <row r="526">
      <c r="A526" s="431"/>
      <c r="B526" s="431"/>
      <c r="C526" s="431"/>
      <c r="D526" s="433"/>
      <c r="E526" s="433"/>
      <c r="F526" s="431"/>
      <c r="G526" s="431"/>
      <c r="H526" s="431"/>
      <c r="I526" s="436"/>
      <c r="J526" s="437"/>
    </row>
    <row r="527">
      <c r="A527" s="431"/>
      <c r="B527" s="431"/>
      <c r="C527" s="431"/>
      <c r="D527" s="433"/>
      <c r="E527" s="433"/>
      <c r="F527" s="431"/>
      <c r="G527" s="431"/>
      <c r="H527" s="431"/>
      <c r="I527" s="436"/>
      <c r="J527" s="437"/>
    </row>
    <row r="528">
      <c r="A528" s="431"/>
      <c r="B528" s="431"/>
      <c r="C528" s="431"/>
      <c r="D528" s="433"/>
      <c r="E528" s="433"/>
      <c r="F528" s="431"/>
      <c r="G528" s="431"/>
      <c r="H528" s="431"/>
      <c r="I528" s="436"/>
      <c r="J528" s="437"/>
    </row>
    <row r="529">
      <c r="A529" s="431"/>
      <c r="B529" s="431"/>
      <c r="C529" s="431"/>
      <c r="D529" s="433"/>
      <c r="E529" s="433"/>
      <c r="F529" s="431"/>
      <c r="G529" s="431"/>
      <c r="H529" s="431"/>
      <c r="I529" s="436"/>
      <c r="J529" s="437"/>
    </row>
    <row r="530">
      <c r="A530" s="431"/>
      <c r="B530" s="431"/>
      <c r="C530" s="431"/>
      <c r="D530" s="433"/>
      <c r="E530" s="433"/>
      <c r="F530" s="431"/>
      <c r="G530" s="431"/>
      <c r="H530" s="431"/>
      <c r="I530" s="436"/>
      <c r="J530" s="437"/>
    </row>
    <row r="531">
      <c r="A531" s="431"/>
      <c r="B531" s="431"/>
      <c r="C531" s="431"/>
      <c r="D531" s="433"/>
      <c r="E531" s="433"/>
      <c r="F531" s="431"/>
      <c r="G531" s="431"/>
      <c r="H531" s="431"/>
      <c r="I531" s="436"/>
      <c r="J531" s="437"/>
    </row>
    <row r="532">
      <c r="A532" s="431"/>
      <c r="B532" s="431"/>
      <c r="C532" s="431"/>
      <c r="D532" s="433"/>
      <c r="E532" s="433"/>
      <c r="F532" s="431"/>
      <c r="G532" s="431"/>
      <c r="H532" s="431"/>
      <c r="I532" s="436"/>
      <c r="J532" s="437"/>
    </row>
    <row r="533">
      <c r="A533" s="431"/>
      <c r="B533" s="431"/>
      <c r="C533" s="431"/>
      <c r="D533" s="433"/>
      <c r="E533" s="433"/>
      <c r="F533" s="431"/>
      <c r="G533" s="431"/>
      <c r="H533" s="431"/>
      <c r="I533" s="436"/>
      <c r="J533" s="437"/>
    </row>
    <row r="534">
      <c r="A534" s="431"/>
      <c r="B534" s="431"/>
      <c r="C534" s="431"/>
      <c r="D534" s="433"/>
      <c r="E534" s="433"/>
      <c r="F534" s="431"/>
      <c r="G534" s="431"/>
      <c r="H534" s="431"/>
      <c r="I534" s="436"/>
      <c r="J534" s="437"/>
    </row>
    <row r="535">
      <c r="A535" s="431"/>
      <c r="B535" s="431"/>
      <c r="C535" s="431"/>
      <c r="D535" s="433"/>
      <c r="E535" s="433"/>
      <c r="F535" s="431"/>
      <c r="G535" s="431"/>
      <c r="H535" s="431"/>
      <c r="I535" s="436"/>
      <c r="J535" s="437"/>
    </row>
    <row r="536">
      <c r="A536" s="431"/>
      <c r="B536" s="431"/>
      <c r="C536" s="431"/>
      <c r="D536" s="433"/>
      <c r="E536" s="433"/>
      <c r="F536" s="431"/>
      <c r="G536" s="431"/>
      <c r="H536" s="431"/>
      <c r="I536" s="436"/>
      <c r="J536" s="437"/>
    </row>
    <row r="537">
      <c r="A537" s="431"/>
      <c r="B537" s="431"/>
      <c r="C537" s="431"/>
      <c r="D537" s="433"/>
      <c r="E537" s="433"/>
      <c r="F537" s="431"/>
      <c r="G537" s="431"/>
      <c r="H537" s="431"/>
      <c r="I537" s="436"/>
      <c r="J537" s="437"/>
    </row>
    <row r="538">
      <c r="A538" s="431"/>
      <c r="B538" s="431"/>
      <c r="C538" s="431"/>
      <c r="D538" s="433"/>
      <c r="E538" s="433"/>
      <c r="F538" s="431"/>
      <c r="G538" s="431"/>
      <c r="H538" s="431"/>
      <c r="I538" s="436"/>
      <c r="J538" s="437"/>
    </row>
    <row r="539">
      <c r="A539" s="431"/>
      <c r="B539" s="431"/>
      <c r="C539" s="431"/>
      <c r="D539" s="433"/>
      <c r="E539" s="433"/>
      <c r="F539" s="431"/>
      <c r="G539" s="431"/>
      <c r="H539" s="431"/>
      <c r="I539" s="436"/>
      <c r="J539" s="437"/>
    </row>
    <row r="540">
      <c r="A540" s="431"/>
      <c r="B540" s="431"/>
      <c r="C540" s="431"/>
      <c r="D540" s="433"/>
      <c r="E540" s="433"/>
      <c r="F540" s="431"/>
      <c r="G540" s="431"/>
      <c r="H540" s="431"/>
      <c r="I540" s="436"/>
      <c r="J540" s="437"/>
    </row>
    <row r="541">
      <c r="A541" s="431"/>
      <c r="B541" s="431"/>
      <c r="C541" s="431"/>
      <c r="D541" s="433"/>
      <c r="E541" s="433"/>
      <c r="F541" s="431"/>
      <c r="G541" s="431"/>
      <c r="H541" s="431"/>
      <c r="I541" s="436"/>
      <c r="J541" s="437"/>
    </row>
    <row r="542">
      <c r="A542" s="431"/>
      <c r="B542" s="431"/>
      <c r="C542" s="431"/>
      <c r="D542" s="433"/>
      <c r="E542" s="433"/>
      <c r="F542" s="431"/>
      <c r="G542" s="431"/>
      <c r="H542" s="431"/>
      <c r="I542" s="436"/>
      <c r="J542" s="437"/>
    </row>
    <row r="543">
      <c r="A543" s="431"/>
      <c r="B543" s="431"/>
      <c r="C543" s="431"/>
      <c r="D543" s="433"/>
      <c r="E543" s="433"/>
      <c r="F543" s="431"/>
      <c r="G543" s="431"/>
      <c r="H543" s="431"/>
      <c r="I543" s="436"/>
      <c r="J543" s="437"/>
    </row>
    <row r="544">
      <c r="A544" s="431"/>
      <c r="B544" s="431"/>
      <c r="C544" s="431"/>
      <c r="D544" s="433"/>
      <c r="E544" s="433"/>
      <c r="F544" s="431"/>
      <c r="G544" s="431"/>
      <c r="H544" s="431"/>
      <c r="I544" s="436"/>
      <c r="J544" s="437"/>
    </row>
    <row r="545">
      <c r="A545" s="431"/>
      <c r="B545" s="431"/>
      <c r="C545" s="431"/>
      <c r="D545" s="433"/>
      <c r="E545" s="433"/>
      <c r="F545" s="431"/>
      <c r="G545" s="431"/>
      <c r="H545" s="431"/>
      <c r="I545" s="436"/>
      <c r="J545" s="437"/>
    </row>
    <row r="546">
      <c r="A546" s="431"/>
      <c r="B546" s="431"/>
      <c r="C546" s="431"/>
      <c r="D546" s="433"/>
      <c r="E546" s="433"/>
      <c r="F546" s="431"/>
      <c r="G546" s="431"/>
      <c r="H546" s="431"/>
      <c r="I546" s="436"/>
      <c r="J546" s="437"/>
    </row>
    <row r="547">
      <c r="A547" s="431"/>
      <c r="B547" s="431"/>
      <c r="C547" s="431"/>
      <c r="D547" s="433"/>
      <c r="E547" s="433"/>
      <c r="F547" s="431"/>
      <c r="G547" s="431"/>
      <c r="H547" s="431"/>
      <c r="I547" s="436"/>
      <c r="J547" s="437"/>
    </row>
    <row r="548">
      <c r="A548" s="431"/>
      <c r="B548" s="431"/>
      <c r="C548" s="431"/>
      <c r="D548" s="433"/>
      <c r="E548" s="433"/>
      <c r="F548" s="431"/>
      <c r="G548" s="431"/>
      <c r="H548" s="431"/>
      <c r="I548" s="436"/>
      <c r="J548" s="437"/>
    </row>
    <row r="549">
      <c r="A549" s="431"/>
      <c r="B549" s="431"/>
      <c r="C549" s="431"/>
      <c r="D549" s="433"/>
      <c r="E549" s="433"/>
      <c r="F549" s="431"/>
      <c r="G549" s="431"/>
      <c r="H549" s="431"/>
      <c r="I549" s="436"/>
      <c r="J549" s="437"/>
    </row>
    <row r="550">
      <c r="A550" s="431"/>
      <c r="B550" s="431"/>
      <c r="C550" s="431"/>
      <c r="D550" s="433"/>
      <c r="E550" s="433"/>
      <c r="F550" s="431"/>
      <c r="G550" s="431"/>
      <c r="H550" s="431"/>
      <c r="I550" s="436"/>
      <c r="J550" s="437"/>
    </row>
    <row r="551">
      <c r="A551" s="431"/>
      <c r="B551" s="431"/>
      <c r="C551" s="431"/>
      <c r="D551" s="433"/>
      <c r="E551" s="433"/>
      <c r="F551" s="431"/>
      <c r="G551" s="431"/>
      <c r="H551" s="431"/>
      <c r="I551" s="436"/>
      <c r="J551" s="437"/>
    </row>
    <row r="552">
      <c r="A552" s="431"/>
      <c r="B552" s="431"/>
      <c r="C552" s="431"/>
      <c r="D552" s="433"/>
      <c r="E552" s="433"/>
      <c r="F552" s="431"/>
      <c r="G552" s="431"/>
      <c r="H552" s="431"/>
      <c r="I552" s="436"/>
      <c r="J552" s="437"/>
    </row>
    <row r="553">
      <c r="A553" s="431"/>
      <c r="B553" s="431"/>
      <c r="C553" s="431"/>
      <c r="D553" s="433"/>
      <c r="E553" s="433"/>
      <c r="F553" s="431"/>
      <c r="G553" s="431"/>
      <c r="H553" s="431"/>
      <c r="I553" s="436"/>
      <c r="J553" s="437"/>
    </row>
    <row r="554">
      <c r="A554" s="431"/>
      <c r="B554" s="431"/>
      <c r="C554" s="431"/>
      <c r="D554" s="433"/>
      <c r="E554" s="433"/>
      <c r="F554" s="431"/>
      <c r="G554" s="431"/>
      <c r="H554" s="431"/>
      <c r="I554" s="436"/>
      <c r="J554" s="437"/>
    </row>
    <row r="555">
      <c r="A555" s="431"/>
      <c r="B555" s="431"/>
      <c r="C555" s="431"/>
      <c r="D555" s="433"/>
      <c r="E555" s="433"/>
      <c r="F555" s="431"/>
      <c r="G555" s="431"/>
      <c r="H555" s="431"/>
      <c r="I555" s="436"/>
      <c r="J555" s="437"/>
    </row>
    <row r="556">
      <c r="A556" s="431"/>
      <c r="B556" s="431"/>
      <c r="C556" s="431"/>
      <c r="D556" s="433"/>
      <c r="E556" s="433"/>
      <c r="F556" s="431"/>
      <c r="G556" s="431"/>
      <c r="H556" s="431"/>
      <c r="I556" s="436"/>
      <c r="J556" s="437"/>
    </row>
    <row r="557">
      <c r="A557" s="431"/>
      <c r="B557" s="431"/>
      <c r="C557" s="431"/>
      <c r="D557" s="433"/>
      <c r="E557" s="433"/>
      <c r="F557" s="431"/>
      <c r="G557" s="431"/>
      <c r="H557" s="431"/>
      <c r="I557" s="436"/>
      <c r="J557" s="437"/>
    </row>
    <row r="558">
      <c r="A558" s="431"/>
      <c r="B558" s="431"/>
      <c r="C558" s="431"/>
      <c r="D558" s="433"/>
      <c r="E558" s="433"/>
      <c r="F558" s="431"/>
      <c r="G558" s="431"/>
      <c r="H558" s="431"/>
      <c r="I558" s="436"/>
      <c r="J558" s="437"/>
    </row>
    <row r="559">
      <c r="A559" s="431"/>
      <c r="B559" s="431"/>
      <c r="C559" s="431"/>
      <c r="D559" s="433"/>
      <c r="E559" s="433"/>
      <c r="F559" s="431"/>
      <c r="G559" s="431"/>
      <c r="H559" s="431"/>
      <c r="I559" s="436"/>
      <c r="J559" s="437"/>
    </row>
    <row r="560">
      <c r="A560" s="431"/>
      <c r="B560" s="431"/>
      <c r="C560" s="431"/>
      <c r="D560" s="433"/>
      <c r="E560" s="433"/>
      <c r="F560" s="431"/>
      <c r="G560" s="431"/>
      <c r="H560" s="431"/>
      <c r="I560" s="436"/>
      <c r="J560" s="437"/>
    </row>
    <row r="561">
      <c r="A561" s="431"/>
      <c r="B561" s="431"/>
      <c r="C561" s="431"/>
      <c r="D561" s="433"/>
      <c r="E561" s="433"/>
      <c r="F561" s="431"/>
      <c r="G561" s="431"/>
      <c r="H561" s="431"/>
      <c r="I561" s="436"/>
      <c r="J561" s="437"/>
    </row>
    <row r="562">
      <c r="A562" s="431"/>
      <c r="B562" s="431"/>
      <c r="C562" s="431"/>
      <c r="D562" s="433"/>
      <c r="E562" s="433"/>
      <c r="F562" s="431"/>
      <c r="G562" s="431"/>
      <c r="H562" s="431"/>
      <c r="I562" s="436"/>
      <c r="J562" s="437"/>
    </row>
    <row r="563">
      <c r="A563" s="431"/>
      <c r="B563" s="431"/>
      <c r="C563" s="431"/>
      <c r="D563" s="433"/>
      <c r="E563" s="433"/>
      <c r="F563" s="431"/>
      <c r="G563" s="431"/>
      <c r="H563" s="431"/>
      <c r="I563" s="436"/>
      <c r="J563" s="437"/>
    </row>
    <row r="564">
      <c r="A564" s="431"/>
      <c r="B564" s="431"/>
      <c r="C564" s="431"/>
      <c r="D564" s="433"/>
      <c r="E564" s="433"/>
      <c r="F564" s="431"/>
      <c r="G564" s="431"/>
      <c r="H564" s="431"/>
      <c r="I564" s="436"/>
      <c r="J564" s="437"/>
    </row>
    <row r="565">
      <c r="A565" s="431"/>
      <c r="B565" s="431"/>
      <c r="C565" s="431"/>
      <c r="D565" s="433"/>
      <c r="E565" s="433"/>
      <c r="F565" s="431"/>
      <c r="G565" s="431"/>
      <c r="H565" s="431"/>
      <c r="I565" s="436"/>
      <c r="J565" s="437"/>
    </row>
    <row r="566">
      <c r="A566" s="431"/>
      <c r="B566" s="431"/>
      <c r="C566" s="431"/>
      <c r="D566" s="433"/>
      <c r="E566" s="433"/>
      <c r="F566" s="431"/>
      <c r="G566" s="431"/>
      <c r="H566" s="431"/>
      <c r="I566" s="436"/>
      <c r="J566" s="437"/>
    </row>
    <row r="567">
      <c r="A567" s="431"/>
      <c r="B567" s="431"/>
      <c r="C567" s="431"/>
      <c r="D567" s="433"/>
      <c r="E567" s="433"/>
      <c r="F567" s="431"/>
      <c r="G567" s="431"/>
      <c r="H567" s="431"/>
      <c r="I567" s="436"/>
      <c r="J567" s="437"/>
    </row>
    <row r="568">
      <c r="A568" s="431"/>
      <c r="B568" s="431"/>
      <c r="C568" s="431"/>
      <c r="D568" s="433"/>
      <c r="E568" s="433"/>
      <c r="F568" s="431"/>
      <c r="G568" s="431"/>
      <c r="H568" s="431"/>
      <c r="I568" s="436"/>
      <c r="J568" s="437"/>
    </row>
    <row r="569">
      <c r="A569" s="431"/>
      <c r="B569" s="431"/>
      <c r="C569" s="431"/>
      <c r="D569" s="433"/>
      <c r="E569" s="433"/>
      <c r="F569" s="431"/>
      <c r="G569" s="431"/>
      <c r="H569" s="431"/>
      <c r="I569" s="436"/>
      <c r="J569" s="437"/>
    </row>
    <row r="570">
      <c r="A570" s="431"/>
      <c r="B570" s="431"/>
      <c r="C570" s="431"/>
      <c r="D570" s="433"/>
      <c r="E570" s="433"/>
      <c r="F570" s="431"/>
      <c r="G570" s="431"/>
      <c r="H570" s="431"/>
      <c r="I570" s="436"/>
      <c r="J570" s="437"/>
    </row>
    <row r="571">
      <c r="A571" s="431"/>
      <c r="B571" s="431"/>
      <c r="C571" s="431"/>
      <c r="D571" s="433"/>
      <c r="E571" s="433"/>
      <c r="F571" s="431"/>
      <c r="G571" s="431"/>
      <c r="H571" s="431"/>
      <c r="I571" s="436"/>
      <c r="J571" s="437"/>
    </row>
    <row r="572">
      <c r="A572" s="431"/>
      <c r="B572" s="431"/>
      <c r="C572" s="431"/>
      <c r="D572" s="433"/>
      <c r="E572" s="433"/>
      <c r="F572" s="431"/>
      <c r="G572" s="431"/>
      <c r="H572" s="431"/>
      <c r="I572" s="436"/>
      <c r="J572" s="437"/>
    </row>
    <row r="573">
      <c r="A573" s="431"/>
      <c r="B573" s="431"/>
      <c r="C573" s="431"/>
      <c r="D573" s="433"/>
      <c r="E573" s="433"/>
      <c r="F573" s="431"/>
      <c r="G573" s="431"/>
      <c r="H573" s="431"/>
      <c r="I573" s="436"/>
      <c r="J573" s="437"/>
    </row>
    <row r="574">
      <c r="A574" s="431"/>
      <c r="B574" s="431"/>
      <c r="C574" s="431"/>
      <c r="D574" s="433"/>
      <c r="E574" s="433"/>
      <c r="F574" s="431"/>
      <c r="G574" s="431"/>
      <c r="H574" s="431"/>
      <c r="I574" s="436"/>
      <c r="J574" s="437"/>
    </row>
    <row r="575">
      <c r="A575" s="431"/>
      <c r="B575" s="431"/>
      <c r="C575" s="431"/>
      <c r="D575" s="433"/>
      <c r="E575" s="433"/>
      <c r="F575" s="431"/>
      <c r="G575" s="431"/>
      <c r="H575" s="431"/>
      <c r="I575" s="436"/>
      <c r="J575" s="437"/>
    </row>
    <row r="576">
      <c r="A576" s="431"/>
      <c r="B576" s="431"/>
      <c r="C576" s="431"/>
      <c r="D576" s="433"/>
      <c r="E576" s="433"/>
      <c r="F576" s="431"/>
      <c r="G576" s="431"/>
      <c r="H576" s="431"/>
      <c r="I576" s="436"/>
      <c r="J576" s="437"/>
    </row>
    <row r="577">
      <c r="A577" s="431"/>
      <c r="B577" s="431"/>
      <c r="C577" s="431"/>
      <c r="D577" s="433"/>
      <c r="E577" s="433"/>
      <c r="F577" s="431"/>
      <c r="G577" s="431"/>
      <c r="H577" s="431"/>
      <c r="I577" s="436"/>
      <c r="J577" s="437"/>
    </row>
    <row r="578">
      <c r="A578" s="431"/>
      <c r="B578" s="431"/>
      <c r="C578" s="431"/>
      <c r="D578" s="433"/>
      <c r="E578" s="433"/>
      <c r="F578" s="431"/>
      <c r="G578" s="431"/>
      <c r="H578" s="431"/>
      <c r="I578" s="436"/>
      <c r="J578" s="437"/>
    </row>
    <row r="579">
      <c r="A579" s="431"/>
      <c r="B579" s="431"/>
      <c r="C579" s="431"/>
      <c r="D579" s="433"/>
      <c r="E579" s="433"/>
      <c r="F579" s="431"/>
      <c r="G579" s="431"/>
      <c r="H579" s="431"/>
      <c r="I579" s="436"/>
      <c r="J579" s="437"/>
    </row>
    <row r="580">
      <c r="A580" s="431"/>
      <c r="B580" s="431"/>
      <c r="C580" s="431"/>
      <c r="D580" s="433"/>
      <c r="E580" s="433"/>
      <c r="F580" s="431"/>
      <c r="G580" s="431"/>
      <c r="H580" s="431"/>
      <c r="I580" s="436"/>
      <c r="J580" s="437"/>
    </row>
    <row r="581">
      <c r="A581" s="431"/>
      <c r="B581" s="431"/>
      <c r="C581" s="431"/>
      <c r="D581" s="433"/>
      <c r="E581" s="433"/>
      <c r="F581" s="431"/>
      <c r="G581" s="431"/>
      <c r="H581" s="431"/>
      <c r="I581" s="436"/>
      <c r="J581" s="437"/>
    </row>
    <row r="582">
      <c r="A582" s="431"/>
      <c r="B582" s="431"/>
      <c r="C582" s="431"/>
      <c r="D582" s="433"/>
      <c r="E582" s="433"/>
      <c r="F582" s="431"/>
      <c r="G582" s="431"/>
      <c r="H582" s="431"/>
      <c r="I582" s="436"/>
      <c r="J582" s="437"/>
    </row>
    <row r="583">
      <c r="A583" s="431"/>
      <c r="B583" s="431"/>
      <c r="C583" s="431"/>
      <c r="D583" s="433"/>
      <c r="E583" s="433"/>
      <c r="F583" s="431"/>
      <c r="G583" s="431"/>
      <c r="H583" s="431"/>
      <c r="I583" s="436"/>
      <c r="J583" s="437"/>
    </row>
    <row r="584">
      <c r="A584" s="431"/>
      <c r="B584" s="431"/>
      <c r="C584" s="431"/>
      <c r="D584" s="433"/>
      <c r="E584" s="433"/>
      <c r="F584" s="431"/>
      <c r="G584" s="431"/>
      <c r="H584" s="431"/>
      <c r="I584" s="436"/>
      <c r="J584" s="437"/>
    </row>
    <row r="585">
      <c r="A585" s="431"/>
      <c r="B585" s="431"/>
      <c r="C585" s="431"/>
      <c r="D585" s="433"/>
      <c r="E585" s="433"/>
      <c r="F585" s="431"/>
      <c r="G585" s="431"/>
      <c r="H585" s="431"/>
      <c r="I585" s="436"/>
      <c r="J585" s="437"/>
    </row>
    <row r="586">
      <c r="A586" s="431"/>
      <c r="B586" s="431"/>
      <c r="C586" s="431"/>
      <c r="D586" s="433"/>
      <c r="E586" s="433"/>
      <c r="F586" s="431"/>
      <c r="G586" s="431"/>
      <c r="H586" s="431"/>
      <c r="I586" s="436"/>
      <c r="J586" s="437"/>
    </row>
    <row r="587">
      <c r="A587" s="431"/>
      <c r="B587" s="431"/>
      <c r="C587" s="431"/>
      <c r="D587" s="433"/>
      <c r="E587" s="433"/>
      <c r="F587" s="431"/>
      <c r="G587" s="431"/>
      <c r="H587" s="431"/>
      <c r="I587" s="436"/>
      <c r="J587" s="437"/>
    </row>
    <row r="588">
      <c r="A588" s="431"/>
      <c r="B588" s="431"/>
      <c r="C588" s="431"/>
      <c r="D588" s="433"/>
      <c r="E588" s="433"/>
      <c r="F588" s="431"/>
      <c r="G588" s="431"/>
      <c r="H588" s="431"/>
      <c r="I588" s="436"/>
      <c r="J588" s="437"/>
    </row>
    <row r="589">
      <c r="A589" s="431"/>
      <c r="B589" s="431"/>
      <c r="C589" s="431"/>
      <c r="D589" s="433"/>
      <c r="E589" s="433"/>
      <c r="F589" s="431"/>
      <c r="G589" s="431"/>
      <c r="H589" s="431"/>
      <c r="I589" s="436"/>
      <c r="J589" s="437"/>
    </row>
    <row r="590">
      <c r="A590" s="431"/>
      <c r="B590" s="431"/>
      <c r="C590" s="431"/>
      <c r="D590" s="433"/>
      <c r="E590" s="433"/>
      <c r="F590" s="431"/>
      <c r="G590" s="431"/>
      <c r="H590" s="431"/>
      <c r="I590" s="436"/>
      <c r="J590" s="437"/>
    </row>
    <row r="591">
      <c r="A591" s="431"/>
      <c r="B591" s="431"/>
      <c r="C591" s="431"/>
      <c r="D591" s="433"/>
      <c r="E591" s="433"/>
      <c r="F591" s="431"/>
      <c r="G591" s="431"/>
      <c r="H591" s="431"/>
      <c r="I591" s="436"/>
      <c r="J591" s="437"/>
    </row>
    <row r="592">
      <c r="A592" s="431"/>
      <c r="B592" s="431"/>
      <c r="C592" s="431"/>
      <c r="D592" s="433"/>
      <c r="E592" s="433"/>
      <c r="F592" s="431"/>
      <c r="G592" s="431"/>
      <c r="H592" s="431"/>
      <c r="I592" s="436"/>
      <c r="J592" s="437"/>
    </row>
    <row r="593">
      <c r="A593" s="431"/>
      <c r="B593" s="431"/>
      <c r="C593" s="431"/>
      <c r="D593" s="433"/>
      <c r="E593" s="433"/>
      <c r="F593" s="431"/>
      <c r="G593" s="431"/>
      <c r="H593" s="431"/>
      <c r="I593" s="436"/>
      <c r="J593" s="437"/>
    </row>
    <row r="594">
      <c r="A594" s="431"/>
      <c r="B594" s="431"/>
      <c r="C594" s="431"/>
      <c r="D594" s="433"/>
      <c r="E594" s="433"/>
      <c r="F594" s="431"/>
      <c r="G594" s="431"/>
      <c r="H594" s="431"/>
      <c r="I594" s="436"/>
      <c r="J594" s="437"/>
    </row>
    <row r="595">
      <c r="A595" s="431"/>
      <c r="B595" s="431"/>
      <c r="C595" s="431"/>
      <c r="D595" s="433"/>
      <c r="E595" s="433"/>
      <c r="F595" s="431"/>
      <c r="G595" s="431"/>
      <c r="H595" s="431"/>
      <c r="I595" s="436"/>
      <c r="J595" s="437"/>
    </row>
    <row r="596">
      <c r="A596" s="431"/>
      <c r="B596" s="431"/>
      <c r="C596" s="431"/>
      <c r="D596" s="433"/>
      <c r="E596" s="433"/>
      <c r="F596" s="431"/>
      <c r="G596" s="431"/>
      <c r="H596" s="431"/>
      <c r="I596" s="436"/>
      <c r="J596" s="437"/>
    </row>
    <row r="597">
      <c r="A597" s="431"/>
      <c r="B597" s="431"/>
      <c r="C597" s="431"/>
      <c r="D597" s="433"/>
      <c r="E597" s="433"/>
      <c r="F597" s="431"/>
      <c r="G597" s="431"/>
      <c r="H597" s="431"/>
      <c r="I597" s="436"/>
      <c r="J597" s="437"/>
    </row>
    <row r="598">
      <c r="A598" s="431"/>
      <c r="B598" s="431"/>
      <c r="C598" s="431"/>
      <c r="D598" s="433"/>
      <c r="E598" s="433"/>
      <c r="F598" s="431"/>
      <c r="G598" s="431"/>
      <c r="H598" s="431"/>
      <c r="I598" s="436"/>
      <c r="J598" s="437"/>
    </row>
    <row r="599">
      <c r="A599" s="431"/>
      <c r="B599" s="431"/>
      <c r="C599" s="431"/>
      <c r="D599" s="433"/>
      <c r="E599" s="433"/>
      <c r="F599" s="431"/>
      <c r="G599" s="431"/>
      <c r="H599" s="431"/>
      <c r="I599" s="436"/>
      <c r="J599" s="437"/>
    </row>
    <row r="600">
      <c r="A600" s="431"/>
      <c r="B600" s="431"/>
      <c r="C600" s="431"/>
      <c r="D600" s="433"/>
      <c r="E600" s="433"/>
      <c r="F600" s="431"/>
      <c r="G600" s="431"/>
      <c r="H600" s="431"/>
      <c r="I600" s="436"/>
      <c r="J600" s="437"/>
    </row>
    <row r="601">
      <c r="A601" s="431"/>
      <c r="B601" s="431"/>
      <c r="C601" s="431"/>
      <c r="D601" s="433"/>
      <c r="E601" s="433"/>
      <c r="F601" s="431"/>
      <c r="G601" s="431"/>
      <c r="H601" s="431"/>
      <c r="I601" s="436"/>
      <c r="J601" s="437"/>
    </row>
    <row r="602">
      <c r="A602" s="431"/>
      <c r="B602" s="431"/>
      <c r="C602" s="431"/>
      <c r="D602" s="433"/>
      <c r="E602" s="433"/>
      <c r="F602" s="431"/>
      <c r="G602" s="431"/>
      <c r="H602" s="431"/>
      <c r="I602" s="436"/>
      <c r="J602" s="437"/>
    </row>
    <row r="603">
      <c r="A603" s="431"/>
      <c r="B603" s="431"/>
      <c r="C603" s="431"/>
      <c r="D603" s="433"/>
      <c r="E603" s="433"/>
      <c r="F603" s="431"/>
      <c r="G603" s="431"/>
      <c r="H603" s="431"/>
      <c r="I603" s="436"/>
      <c r="J603" s="437"/>
    </row>
    <row r="604">
      <c r="A604" s="431"/>
      <c r="B604" s="431"/>
      <c r="C604" s="431"/>
      <c r="D604" s="433"/>
      <c r="E604" s="433"/>
      <c r="F604" s="431"/>
      <c r="G604" s="431"/>
      <c r="H604" s="431"/>
      <c r="I604" s="436"/>
      <c r="J604" s="437"/>
    </row>
    <row r="605">
      <c r="A605" s="431"/>
      <c r="B605" s="431"/>
      <c r="C605" s="431"/>
      <c r="D605" s="433"/>
      <c r="E605" s="433"/>
      <c r="F605" s="431"/>
      <c r="G605" s="431"/>
      <c r="H605" s="431"/>
      <c r="I605" s="436"/>
      <c r="J605" s="437"/>
    </row>
    <row r="606">
      <c r="A606" s="431"/>
      <c r="B606" s="431"/>
      <c r="C606" s="431"/>
      <c r="D606" s="433"/>
      <c r="E606" s="433"/>
      <c r="F606" s="431"/>
      <c r="G606" s="431"/>
      <c r="H606" s="431"/>
      <c r="I606" s="436"/>
      <c r="J606" s="437"/>
    </row>
    <row r="607">
      <c r="A607" s="431"/>
      <c r="B607" s="431"/>
      <c r="C607" s="431"/>
      <c r="D607" s="433"/>
      <c r="E607" s="433"/>
      <c r="F607" s="431"/>
      <c r="G607" s="431"/>
      <c r="H607" s="431"/>
      <c r="I607" s="436"/>
      <c r="J607" s="437"/>
    </row>
    <row r="608">
      <c r="A608" s="431"/>
      <c r="B608" s="431"/>
      <c r="C608" s="431"/>
      <c r="D608" s="433"/>
      <c r="E608" s="433"/>
      <c r="F608" s="431"/>
      <c r="G608" s="431"/>
      <c r="H608" s="431"/>
      <c r="I608" s="436"/>
      <c r="J608" s="437"/>
    </row>
    <row r="609">
      <c r="A609" s="431"/>
      <c r="B609" s="431"/>
      <c r="C609" s="431"/>
      <c r="D609" s="433"/>
      <c r="E609" s="433"/>
      <c r="F609" s="431"/>
      <c r="G609" s="431"/>
      <c r="H609" s="431"/>
      <c r="I609" s="436"/>
      <c r="J609" s="437"/>
    </row>
    <row r="610">
      <c r="A610" s="431"/>
      <c r="B610" s="431"/>
      <c r="C610" s="431"/>
      <c r="D610" s="433"/>
      <c r="E610" s="433"/>
      <c r="F610" s="431"/>
      <c r="G610" s="431"/>
      <c r="H610" s="431"/>
      <c r="I610" s="436"/>
      <c r="J610" s="437"/>
    </row>
    <row r="611">
      <c r="A611" s="431"/>
      <c r="B611" s="431"/>
      <c r="C611" s="431"/>
      <c r="D611" s="433"/>
      <c r="E611" s="433"/>
      <c r="F611" s="431"/>
      <c r="G611" s="431"/>
      <c r="H611" s="431"/>
      <c r="I611" s="436"/>
      <c r="J611" s="437"/>
    </row>
    <row r="612">
      <c r="A612" s="431"/>
      <c r="B612" s="431"/>
      <c r="C612" s="431"/>
      <c r="D612" s="433"/>
      <c r="E612" s="433"/>
      <c r="F612" s="431"/>
      <c r="G612" s="431"/>
      <c r="H612" s="431"/>
      <c r="I612" s="436"/>
      <c r="J612" s="437"/>
    </row>
    <row r="613">
      <c r="A613" s="431"/>
      <c r="B613" s="431"/>
      <c r="C613" s="431"/>
      <c r="D613" s="433"/>
      <c r="E613" s="433"/>
      <c r="F613" s="431"/>
      <c r="G613" s="431"/>
      <c r="H613" s="431"/>
      <c r="I613" s="436"/>
      <c r="J613" s="437"/>
    </row>
    <row r="614">
      <c r="A614" s="431"/>
      <c r="B614" s="431"/>
      <c r="C614" s="431"/>
      <c r="D614" s="433"/>
      <c r="E614" s="433"/>
      <c r="F614" s="431"/>
      <c r="G614" s="431"/>
      <c r="H614" s="431"/>
      <c r="I614" s="436"/>
      <c r="J614" s="437"/>
    </row>
    <row r="615">
      <c r="A615" s="431"/>
      <c r="B615" s="431"/>
      <c r="C615" s="431"/>
      <c r="D615" s="433"/>
      <c r="E615" s="433"/>
      <c r="F615" s="431"/>
      <c r="G615" s="431"/>
      <c r="H615" s="431"/>
      <c r="I615" s="436"/>
      <c r="J615" s="437"/>
    </row>
    <row r="616">
      <c r="A616" s="431"/>
      <c r="B616" s="431"/>
      <c r="C616" s="431"/>
      <c r="D616" s="433"/>
      <c r="E616" s="433"/>
      <c r="F616" s="431"/>
      <c r="G616" s="431"/>
      <c r="H616" s="431"/>
      <c r="I616" s="436"/>
      <c r="J616" s="437"/>
    </row>
    <row r="617">
      <c r="A617" s="431"/>
      <c r="B617" s="431"/>
      <c r="C617" s="431"/>
      <c r="D617" s="433"/>
      <c r="E617" s="433"/>
      <c r="F617" s="431"/>
      <c r="G617" s="431"/>
      <c r="H617" s="431"/>
      <c r="I617" s="436"/>
      <c r="J617" s="437"/>
    </row>
    <row r="618">
      <c r="A618" s="431"/>
      <c r="B618" s="431"/>
      <c r="C618" s="431"/>
      <c r="D618" s="433"/>
      <c r="E618" s="433"/>
      <c r="F618" s="431"/>
      <c r="G618" s="431"/>
      <c r="H618" s="431"/>
      <c r="I618" s="436"/>
      <c r="J618" s="437"/>
    </row>
    <row r="619">
      <c r="A619" s="431"/>
      <c r="B619" s="431"/>
      <c r="C619" s="431"/>
      <c r="D619" s="433"/>
      <c r="E619" s="433"/>
      <c r="F619" s="431"/>
      <c r="G619" s="431"/>
      <c r="H619" s="431"/>
      <c r="I619" s="436"/>
      <c r="J619" s="437"/>
    </row>
    <row r="620">
      <c r="A620" s="431"/>
      <c r="B620" s="431"/>
      <c r="C620" s="431"/>
      <c r="D620" s="433"/>
      <c r="E620" s="433"/>
      <c r="F620" s="431"/>
      <c r="G620" s="431"/>
      <c r="H620" s="431"/>
      <c r="I620" s="436"/>
      <c r="J620" s="437"/>
    </row>
    <row r="621">
      <c r="A621" s="431"/>
      <c r="B621" s="431"/>
      <c r="C621" s="431"/>
      <c r="D621" s="433"/>
      <c r="E621" s="433"/>
      <c r="F621" s="431"/>
      <c r="G621" s="431"/>
      <c r="H621" s="431"/>
      <c r="I621" s="436"/>
      <c r="J621" s="437"/>
    </row>
    <row r="622">
      <c r="A622" s="431"/>
      <c r="B622" s="431"/>
      <c r="C622" s="431"/>
      <c r="D622" s="433"/>
      <c r="E622" s="433"/>
      <c r="F622" s="431"/>
      <c r="G622" s="431"/>
      <c r="H622" s="431"/>
      <c r="I622" s="436"/>
      <c r="J622" s="437"/>
    </row>
    <row r="623">
      <c r="A623" s="431"/>
      <c r="B623" s="431"/>
      <c r="C623" s="431"/>
      <c r="D623" s="433"/>
      <c r="E623" s="433"/>
      <c r="F623" s="431"/>
      <c r="G623" s="431"/>
      <c r="H623" s="431"/>
      <c r="I623" s="436"/>
      <c r="J623" s="437"/>
    </row>
    <row r="624">
      <c r="A624" s="431"/>
      <c r="B624" s="431"/>
      <c r="C624" s="431"/>
      <c r="D624" s="433"/>
      <c r="E624" s="433"/>
      <c r="F624" s="431"/>
      <c r="G624" s="431"/>
      <c r="H624" s="431"/>
      <c r="I624" s="436"/>
      <c r="J624" s="437"/>
    </row>
    <row r="625">
      <c r="A625" s="431"/>
      <c r="B625" s="431"/>
      <c r="C625" s="431"/>
      <c r="D625" s="433"/>
      <c r="E625" s="433"/>
      <c r="F625" s="431"/>
      <c r="G625" s="431"/>
      <c r="H625" s="431"/>
      <c r="I625" s="436"/>
      <c r="J625" s="437"/>
    </row>
    <row r="626">
      <c r="A626" s="431"/>
      <c r="B626" s="431"/>
      <c r="C626" s="431"/>
      <c r="D626" s="433"/>
      <c r="E626" s="433"/>
      <c r="F626" s="431"/>
      <c r="G626" s="431"/>
      <c r="H626" s="431"/>
      <c r="I626" s="436"/>
      <c r="J626" s="437"/>
    </row>
    <row r="627">
      <c r="A627" s="431"/>
      <c r="B627" s="431"/>
      <c r="C627" s="431"/>
      <c r="D627" s="433"/>
      <c r="E627" s="433"/>
      <c r="F627" s="431"/>
      <c r="G627" s="431"/>
      <c r="H627" s="431"/>
      <c r="I627" s="436"/>
      <c r="J627" s="437"/>
    </row>
    <row r="628">
      <c r="A628" s="431"/>
      <c r="B628" s="431"/>
      <c r="C628" s="431"/>
      <c r="D628" s="433"/>
      <c r="E628" s="433"/>
      <c r="F628" s="431"/>
      <c r="G628" s="431"/>
      <c r="H628" s="431"/>
      <c r="I628" s="436"/>
      <c r="J628" s="437"/>
    </row>
    <row r="629">
      <c r="A629" s="431"/>
      <c r="B629" s="431"/>
      <c r="C629" s="431"/>
      <c r="D629" s="433"/>
      <c r="E629" s="433"/>
      <c r="F629" s="431"/>
      <c r="G629" s="431"/>
      <c r="H629" s="431"/>
      <c r="I629" s="436"/>
      <c r="J629" s="437"/>
    </row>
    <row r="630">
      <c r="A630" s="431"/>
      <c r="B630" s="431"/>
      <c r="C630" s="431"/>
      <c r="D630" s="433"/>
      <c r="E630" s="433"/>
      <c r="F630" s="431"/>
      <c r="G630" s="431"/>
      <c r="H630" s="431"/>
      <c r="I630" s="436"/>
      <c r="J630" s="437"/>
    </row>
    <row r="631">
      <c r="A631" s="431"/>
      <c r="B631" s="431"/>
      <c r="C631" s="431"/>
      <c r="D631" s="433"/>
      <c r="E631" s="433"/>
      <c r="F631" s="431"/>
      <c r="G631" s="431"/>
      <c r="H631" s="431"/>
      <c r="I631" s="436"/>
      <c r="J631" s="437"/>
    </row>
    <row r="632">
      <c r="A632" s="431"/>
      <c r="B632" s="431"/>
      <c r="C632" s="431"/>
      <c r="D632" s="433"/>
      <c r="E632" s="433"/>
      <c r="F632" s="431"/>
      <c r="G632" s="431"/>
      <c r="H632" s="431"/>
      <c r="I632" s="436"/>
      <c r="J632" s="437"/>
    </row>
    <row r="633">
      <c r="A633" s="431"/>
      <c r="B633" s="431"/>
      <c r="C633" s="431"/>
      <c r="D633" s="433"/>
      <c r="E633" s="433"/>
      <c r="F633" s="431"/>
      <c r="G633" s="431"/>
      <c r="H633" s="431"/>
      <c r="I633" s="436"/>
      <c r="J633" s="437"/>
    </row>
    <row r="634">
      <c r="A634" s="431"/>
      <c r="B634" s="431"/>
      <c r="C634" s="431"/>
      <c r="D634" s="433"/>
      <c r="E634" s="433"/>
      <c r="F634" s="431"/>
      <c r="G634" s="431"/>
      <c r="H634" s="431"/>
      <c r="I634" s="436"/>
      <c r="J634" s="437"/>
    </row>
    <row r="635">
      <c r="A635" s="431"/>
      <c r="B635" s="431"/>
      <c r="C635" s="431"/>
      <c r="D635" s="433"/>
      <c r="E635" s="433"/>
      <c r="F635" s="431"/>
      <c r="G635" s="431"/>
      <c r="H635" s="431"/>
      <c r="I635" s="436"/>
      <c r="J635" s="437"/>
    </row>
    <row r="636">
      <c r="A636" s="431"/>
      <c r="B636" s="431"/>
      <c r="C636" s="431"/>
      <c r="D636" s="433"/>
      <c r="E636" s="433"/>
      <c r="F636" s="431"/>
      <c r="G636" s="431"/>
      <c r="H636" s="431"/>
      <c r="I636" s="436"/>
      <c r="J636" s="437"/>
    </row>
    <row r="637">
      <c r="A637" s="431"/>
      <c r="B637" s="431"/>
      <c r="C637" s="431"/>
      <c r="D637" s="433"/>
      <c r="E637" s="433"/>
      <c r="F637" s="431"/>
      <c r="G637" s="431"/>
      <c r="H637" s="431"/>
      <c r="I637" s="436"/>
      <c r="J637" s="437"/>
    </row>
    <row r="638">
      <c r="A638" s="431"/>
      <c r="B638" s="431"/>
      <c r="C638" s="431"/>
      <c r="D638" s="433"/>
      <c r="E638" s="433"/>
      <c r="F638" s="431"/>
      <c r="G638" s="431"/>
      <c r="H638" s="431"/>
      <c r="I638" s="436"/>
      <c r="J638" s="437"/>
    </row>
    <row r="639">
      <c r="A639" s="431"/>
      <c r="B639" s="431"/>
      <c r="C639" s="431"/>
      <c r="D639" s="433"/>
      <c r="E639" s="433"/>
      <c r="F639" s="431"/>
      <c r="G639" s="431"/>
      <c r="H639" s="431"/>
      <c r="I639" s="436"/>
      <c r="J639" s="437"/>
    </row>
    <row r="640">
      <c r="A640" s="431"/>
      <c r="B640" s="431"/>
      <c r="C640" s="431"/>
      <c r="D640" s="433"/>
      <c r="E640" s="433"/>
      <c r="F640" s="431"/>
      <c r="G640" s="431"/>
      <c r="H640" s="431"/>
      <c r="I640" s="436"/>
      <c r="J640" s="437"/>
    </row>
    <row r="641">
      <c r="A641" s="431"/>
      <c r="B641" s="431"/>
      <c r="C641" s="431"/>
      <c r="D641" s="433"/>
      <c r="E641" s="433"/>
      <c r="F641" s="431"/>
      <c r="G641" s="431"/>
      <c r="H641" s="431"/>
      <c r="I641" s="436"/>
      <c r="J641" s="437"/>
    </row>
    <row r="642">
      <c r="A642" s="431"/>
      <c r="B642" s="431"/>
      <c r="C642" s="431"/>
      <c r="D642" s="433"/>
      <c r="E642" s="433"/>
      <c r="F642" s="431"/>
      <c r="G642" s="431"/>
      <c r="H642" s="431"/>
      <c r="I642" s="436"/>
      <c r="J642" s="437"/>
    </row>
    <row r="643">
      <c r="A643" s="431"/>
      <c r="B643" s="431"/>
      <c r="C643" s="431"/>
      <c r="D643" s="433"/>
      <c r="E643" s="433"/>
      <c r="F643" s="431"/>
      <c r="G643" s="431"/>
      <c r="H643" s="431"/>
      <c r="I643" s="436"/>
      <c r="J643" s="437"/>
    </row>
    <row r="644">
      <c r="A644" s="431"/>
      <c r="B644" s="431"/>
      <c r="C644" s="431"/>
      <c r="D644" s="433"/>
      <c r="E644" s="433"/>
      <c r="F644" s="431"/>
      <c r="G644" s="431"/>
      <c r="H644" s="431"/>
      <c r="I644" s="436"/>
      <c r="J644" s="437"/>
    </row>
    <row r="645">
      <c r="A645" s="431"/>
      <c r="B645" s="431"/>
      <c r="C645" s="431"/>
      <c r="D645" s="433"/>
      <c r="E645" s="433"/>
      <c r="F645" s="431"/>
      <c r="G645" s="431"/>
      <c r="H645" s="431"/>
      <c r="I645" s="436"/>
      <c r="J645" s="437"/>
    </row>
    <row r="646">
      <c r="A646" s="431"/>
      <c r="B646" s="431"/>
      <c r="C646" s="431"/>
      <c r="D646" s="433"/>
      <c r="E646" s="433"/>
      <c r="F646" s="431"/>
      <c r="G646" s="431"/>
      <c r="H646" s="431"/>
      <c r="I646" s="436"/>
      <c r="J646" s="437"/>
    </row>
    <row r="647">
      <c r="A647" s="431"/>
      <c r="B647" s="431"/>
      <c r="C647" s="431"/>
      <c r="D647" s="433"/>
      <c r="E647" s="433"/>
      <c r="F647" s="431"/>
      <c r="G647" s="431"/>
      <c r="H647" s="431"/>
      <c r="I647" s="436"/>
      <c r="J647" s="437"/>
    </row>
    <row r="648">
      <c r="A648" s="431"/>
      <c r="B648" s="431"/>
      <c r="C648" s="431"/>
      <c r="D648" s="433"/>
      <c r="E648" s="433"/>
      <c r="F648" s="431"/>
      <c r="G648" s="431"/>
      <c r="H648" s="431"/>
      <c r="I648" s="436"/>
      <c r="J648" s="437"/>
    </row>
    <row r="649">
      <c r="A649" s="431"/>
      <c r="B649" s="431"/>
      <c r="C649" s="431"/>
      <c r="D649" s="433"/>
      <c r="E649" s="433"/>
      <c r="F649" s="431"/>
      <c r="G649" s="431"/>
      <c r="H649" s="431"/>
      <c r="I649" s="436"/>
      <c r="J649" s="437"/>
    </row>
    <row r="650">
      <c r="A650" s="431"/>
      <c r="B650" s="431"/>
      <c r="C650" s="431"/>
      <c r="D650" s="433"/>
      <c r="E650" s="433"/>
      <c r="F650" s="431"/>
      <c r="G650" s="431"/>
      <c r="H650" s="431"/>
      <c r="I650" s="436"/>
      <c r="J650" s="437"/>
    </row>
    <row r="651">
      <c r="A651" s="431"/>
      <c r="B651" s="431"/>
      <c r="C651" s="431"/>
      <c r="D651" s="433"/>
      <c r="E651" s="433"/>
      <c r="F651" s="431"/>
      <c r="G651" s="431"/>
      <c r="H651" s="431"/>
      <c r="I651" s="436"/>
      <c r="J651" s="437"/>
    </row>
    <row r="652">
      <c r="A652" s="431"/>
      <c r="B652" s="431"/>
      <c r="C652" s="431"/>
      <c r="D652" s="433"/>
      <c r="E652" s="433"/>
      <c r="F652" s="431"/>
      <c r="G652" s="431"/>
      <c r="H652" s="431"/>
      <c r="I652" s="436"/>
      <c r="J652" s="437"/>
    </row>
    <row r="653">
      <c r="A653" s="431"/>
      <c r="B653" s="431"/>
      <c r="C653" s="431"/>
      <c r="D653" s="433"/>
      <c r="E653" s="433"/>
      <c r="F653" s="431"/>
      <c r="G653" s="431"/>
      <c r="H653" s="431"/>
      <c r="I653" s="436"/>
      <c r="J653" s="437"/>
    </row>
    <row r="654">
      <c r="A654" s="431"/>
      <c r="B654" s="431"/>
      <c r="C654" s="431"/>
      <c r="D654" s="433"/>
      <c r="E654" s="433"/>
      <c r="F654" s="431"/>
      <c r="G654" s="431"/>
      <c r="H654" s="431"/>
      <c r="I654" s="436"/>
      <c r="J654" s="437"/>
    </row>
    <row r="655">
      <c r="A655" s="431"/>
      <c r="B655" s="431"/>
      <c r="C655" s="431"/>
      <c r="D655" s="433"/>
      <c r="E655" s="433"/>
      <c r="F655" s="431"/>
      <c r="G655" s="431"/>
      <c r="H655" s="431"/>
      <c r="I655" s="436"/>
      <c r="J655" s="437"/>
    </row>
    <row r="656">
      <c r="A656" s="431"/>
      <c r="B656" s="431"/>
      <c r="C656" s="431"/>
      <c r="D656" s="433"/>
      <c r="E656" s="433"/>
      <c r="F656" s="431"/>
      <c r="G656" s="431"/>
      <c r="H656" s="431"/>
      <c r="I656" s="436"/>
      <c r="J656" s="437"/>
    </row>
    <row r="657">
      <c r="A657" s="431"/>
      <c r="B657" s="431"/>
      <c r="C657" s="431"/>
      <c r="D657" s="433"/>
      <c r="E657" s="433"/>
      <c r="F657" s="431"/>
      <c r="G657" s="431"/>
      <c r="H657" s="431"/>
      <c r="I657" s="436"/>
      <c r="J657" s="437"/>
    </row>
    <row r="658">
      <c r="A658" s="431"/>
      <c r="B658" s="431"/>
      <c r="C658" s="431"/>
      <c r="D658" s="433"/>
      <c r="E658" s="433"/>
      <c r="F658" s="431"/>
      <c r="G658" s="431"/>
      <c r="H658" s="431"/>
      <c r="I658" s="436"/>
      <c r="J658" s="437"/>
    </row>
    <row r="659">
      <c r="A659" s="431"/>
      <c r="B659" s="431"/>
      <c r="C659" s="431"/>
      <c r="D659" s="433"/>
      <c r="E659" s="433"/>
      <c r="F659" s="431"/>
      <c r="G659" s="431"/>
      <c r="H659" s="431"/>
      <c r="I659" s="436"/>
      <c r="J659" s="437"/>
    </row>
    <row r="660">
      <c r="A660" s="431"/>
      <c r="B660" s="431"/>
      <c r="C660" s="431"/>
      <c r="D660" s="433"/>
      <c r="E660" s="433"/>
      <c r="F660" s="431"/>
      <c r="G660" s="431"/>
      <c r="H660" s="431"/>
      <c r="I660" s="436"/>
      <c r="J660" s="437"/>
    </row>
    <row r="661">
      <c r="A661" s="431"/>
      <c r="B661" s="431"/>
      <c r="C661" s="431"/>
      <c r="D661" s="433"/>
      <c r="E661" s="433"/>
      <c r="F661" s="431"/>
      <c r="G661" s="431"/>
      <c r="H661" s="431"/>
      <c r="I661" s="436"/>
      <c r="J661" s="437"/>
    </row>
    <row r="662">
      <c r="A662" s="431"/>
      <c r="B662" s="431"/>
      <c r="C662" s="431"/>
      <c r="D662" s="433"/>
      <c r="E662" s="433"/>
      <c r="F662" s="431"/>
      <c r="G662" s="431"/>
      <c r="H662" s="431"/>
      <c r="I662" s="436"/>
      <c r="J662" s="437"/>
    </row>
    <row r="663">
      <c r="A663" s="431"/>
      <c r="B663" s="431"/>
      <c r="C663" s="431"/>
      <c r="D663" s="433"/>
      <c r="E663" s="433"/>
      <c r="F663" s="431"/>
      <c r="G663" s="431"/>
      <c r="H663" s="431"/>
      <c r="I663" s="436"/>
      <c r="J663" s="437"/>
    </row>
    <row r="664">
      <c r="A664" s="431"/>
      <c r="B664" s="431"/>
      <c r="C664" s="431"/>
      <c r="D664" s="433"/>
      <c r="E664" s="433"/>
      <c r="F664" s="431"/>
      <c r="G664" s="431"/>
      <c r="H664" s="431"/>
      <c r="I664" s="436"/>
      <c r="J664" s="437"/>
    </row>
    <row r="665">
      <c r="A665" s="431"/>
      <c r="B665" s="431"/>
      <c r="C665" s="431"/>
      <c r="D665" s="433"/>
      <c r="E665" s="433"/>
      <c r="F665" s="431"/>
      <c r="G665" s="431"/>
      <c r="H665" s="431"/>
      <c r="I665" s="436"/>
      <c r="J665" s="437"/>
    </row>
    <row r="666">
      <c r="A666" s="431"/>
      <c r="B666" s="431"/>
      <c r="C666" s="431"/>
      <c r="D666" s="433"/>
      <c r="E666" s="433"/>
      <c r="F666" s="431"/>
      <c r="G666" s="431"/>
      <c r="H666" s="431"/>
      <c r="I666" s="436"/>
      <c r="J666" s="437"/>
    </row>
    <row r="667">
      <c r="A667" s="431"/>
      <c r="B667" s="431"/>
      <c r="C667" s="431"/>
      <c r="D667" s="433"/>
      <c r="E667" s="433"/>
      <c r="F667" s="431"/>
      <c r="G667" s="431"/>
      <c r="H667" s="431"/>
      <c r="I667" s="436"/>
      <c r="J667" s="437"/>
    </row>
    <row r="668">
      <c r="A668" s="431"/>
      <c r="B668" s="431"/>
      <c r="C668" s="431"/>
      <c r="D668" s="433"/>
      <c r="E668" s="433"/>
      <c r="F668" s="431"/>
      <c r="G668" s="431"/>
      <c r="H668" s="431"/>
      <c r="I668" s="436"/>
      <c r="J668" s="437"/>
    </row>
    <row r="669">
      <c r="A669" s="431"/>
      <c r="B669" s="431"/>
      <c r="C669" s="431"/>
      <c r="D669" s="433"/>
      <c r="E669" s="433"/>
      <c r="F669" s="431"/>
      <c r="G669" s="431"/>
      <c r="H669" s="431"/>
      <c r="I669" s="436"/>
      <c r="J669" s="437"/>
    </row>
    <row r="670">
      <c r="A670" s="431"/>
      <c r="B670" s="431"/>
      <c r="C670" s="431"/>
      <c r="D670" s="433"/>
      <c r="E670" s="433"/>
      <c r="F670" s="431"/>
      <c r="G670" s="431"/>
      <c r="H670" s="431"/>
      <c r="I670" s="436"/>
      <c r="J670" s="437"/>
    </row>
    <row r="671">
      <c r="A671" s="431"/>
      <c r="B671" s="431"/>
      <c r="C671" s="431"/>
      <c r="D671" s="433"/>
      <c r="E671" s="433"/>
      <c r="F671" s="431"/>
      <c r="G671" s="431"/>
      <c r="H671" s="431"/>
      <c r="I671" s="436"/>
      <c r="J671" s="437"/>
    </row>
    <row r="672">
      <c r="A672" s="431"/>
      <c r="B672" s="431"/>
      <c r="C672" s="431"/>
      <c r="D672" s="433"/>
      <c r="E672" s="433"/>
      <c r="F672" s="431"/>
      <c r="G672" s="431"/>
      <c r="H672" s="431"/>
      <c r="I672" s="436"/>
      <c r="J672" s="437"/>
    </row>
    <row r="673">
      <c r="A673" s="431"/>
      <c r="B673" s="431"/>
      <c r="C673" s="431"/>
      <c r="D673" s="433"/>
      <c r="E673" s="433"/>
      <c r="F673" s="431"/>
      <c r="G673" s="431"/>
      <c r="H673" s="431"/>
      <c r="I673" s="436"/>
      <c r="J673" s="437"/>
    </row>
    <row r="674">
      <c r="A674" s="431"/>
      <c r="B674" s="431"/>
      <c r="C674" s="431"/>
      <c r="D674" s="433"/>
      <c r="E674" s="433"/>
      <c r="F674" s="431"/>
      <c r="G674" s="431"/>
      <c r="H674" s="431"/>
      <c r="I674" s="436"/>
      <c r="J674" s="437"/>
    </row>
    <row r="675">
      <c r="A675" s="431"/>
      <c r="B675" s="431"/>
      <c r="C675" s="431"/>
      <c r="D675" s="433"/>
      <c r="E675" s="433"/>
      <c r="F675" s="431"/>
      <c r="G675" s="431"/>
      <c r="H675" s="431"/>
      <c r="I675" s="436"/>
      <c r="J675" s="437"/>
    </row>
    <row r="676">
      <c r="A676" s="431"/>
      <c r="B676" s="431"/>
      <c r="C676" s="431"/>
      <c r="D676" s="433"/>
      <c r="E676" s="433"/>
      <c r="F676" s="431"/>
      <c r="G676" s="431"/>
      <c r="H676" s="431"/>
      <c r="I676" s="436"/>
      <c r="J676" s="437"/>
    </row>
    <row r="677">
      <c r="A677" s="431"/>
      <c r="B677" s="431"/>
      <c r="C677" s="431"/>
      <c r="D677" s="433"/>
      <c r="E677" s="433"/>
      <c r="F677" s="431"/>
      <c r="G677" s="431"/>
      <c r="H677" s="431"/>
      <c r="I677" s="436"/>
      <c r="J677" s="437"/>
    </row>
    <row r="678">
      <c r="A678" s="431"/>
      <c r="B678" s="431"/>
      <c r="C678" s="431"/>
      <c r="D678" s="433"/>
      <c r="E678" s="433"/>
      <c r="F678" s="431"/>
      <c r="G678" s="431"/>
      <c r="H678" s="431"/>
      <c r="I678" s="436"/>
      <c r="J678" s="437"/>
    </row>
    <row r="679">
      <c r="A679" s="431"/>
      <c r="B679" s="431"/>
      <c r="C679" s="431"/>
      <c r="D679" s="433"/>
      <c r="E679" s="433"/>
      <c r="F679" s="431"/>
      <c r="G679" s="431"/>
      <c r="H679" s="431"/>
      <c r="I679" s="436"/>
      <c r="J679" s="437"/>
    </row>
    <row r="680">
      <c r="A680" s="431"/>
      <c r="B680" s="431"/>
      <c r="C680" s="431"/>
      <c r="D680" s="433"/>
      <c r="E680" s="433"/>
      <c r="F680" s="431"/>
      <c r="G680" s="431"/>
      <c r="H680" s="431"/>
      <c r="I680" s="436"/>
      <c r="J680" s="437"/>
    </row>
    <row r="681">
      <c r="A681" s="431"/>
      <c r="B681" s="431"/>
      <c r="C681" s="431"/>
      <c r="D681" s="433"/>
      <c r="E681" s="433"/>
      <c r="F681" s="431"/>
      <c r="G681" s="431"/>
      <c r="H681" s="431"/>
      <c r="I681" s="436"/>
      <c r="J681" s="437"/>
    </row>
    <row r="682">
      <c r="A682" s="431"/>
      <c r="B682" s="431"/>
      <c r="C682" s="431"/>
      <c r="D682" s="433"/>
      <c r="E682" s="433"/>
      <c r="F682" s="431"/>
      <c r="G682" s="431"/>
      <c r="H682" s="431"/>
      <c r="I682" s="436"/>
      <c r="J682" s="437"/>
    </row>
    <row r="683">
      <c r="A683" s="431"/>
      <c r="B683" s="431"/>
      <c r="C683" s="431"/>
      <c r="D683" s="433"/>
      <c r="E683" s="433"/>
      <c r="F683" s="431"/>
      <c r="G683" s="431"/>
      <c r="H683" s="431"/>
      <c r="I683" s="436"/>
      <c r="J683" s="437"/>
    </row>
    <row r="684">
      <c r="A684" s="431"/>
      <c r="B684" s="431"/>
      <c r="C684" s="431"/>
      <c r="D684" s="433"/>
      <c r="E684" s="433"/>
      <c r="F684" s="431"/>
      <c r="G684" s="431"/>
      <c r="H684" s="431"/>
      <c r="I684" s="436"/>
      <c r="J684" s="437"/>
    </row>
    <row r="685">
      <c r="A685" s="431"/>
      <c r="B685" s="431"/>
      <c r="C685" s="431"/>
      <c r="D685" s="433"/>
      <c r="E685" s="433"/>
      <c r="F685" s="431"/>
      <c r="G685" s="431"/>
      <c r="H685" s="431"/>
      <c r="I685" s="436"/>
      <c r="J685" s="437"/>
    </row>
    <row r="686">
      <c r="A686" s="431"/>
      <c r="B686" s="431"/>
      <c r="C686" s="431"/>
      <c r="D686" s="433"/>
      <c r="E686" s="433"/>
      <c r="F686" s="431"/>
      <c r="G686" s="431"/>
      <c r="H686" s="431"/>
      <c r="I686" s="436"/>
      <c r="J686" s="437"/>
    </row>
    <row r="687">
      <c r="A687" s="431"/>
      <c r="B687" s="431"/>
      <c r="C687" s="431"/>
      <c r="D687" s="433"/>
      <c r="E687" s="433"/>
      <c r="F687" s="431"/>
      <c r="G687" s="431"/>
      <c r="H687" s="431"/>
      <c r="I687" s="436"/>
      <c r="J687" s="437"/>
    </row>
    <row r="688">
      <c r="A688" s="431"/>
      <c r="B688" s="431"/>
      <c r="C688" s="431"/>
      <c r="D688" s="433"/>
      <c r="E688" s="433"/>
      <c r="F688" s="431"/>
      <c r="G688" s="431"/>
      <c r="H688" s="431"/>
      <c r="I688" s="436"/>
      <c r="J688" s="437"/>
    </row>
    <row r="689">
      <c r="A689" s="431"/>
      <c r="B689" s="431"/>
      <c r="C689" s="431"/>
      <c r="D689" s="433"/>
      <c r="E689" s="433"/>
      <c r="F689" s="431"/>
      <c r="G689" s="431"/>
      <c r="H689" s="431"/>
      <c r="I689" s="436"/>
      <c r="J689" s="437"/>
    </row>
    <row r="690">
      <c r="A690" s="431"/>
      <c r="B690" s="431"/>
      <c r="C690" s="431"/>
      <c r="D690" s="433"/>
      <c r="E690" s="433"/>
      <c r="F690" s="431"/>
      <c r="G690" s="431"/>
      <c r="H690" s="431"/>
      <c r="I690" s="436"/>
      <c r="J690" s="437"/>
    </row>
    <row r="691">
      <c r="A691" s="431"/>
      <c r="B691" s="431"/>
      <c r="C691" s="431"/>
      <c r="D691" s="433"/>
      <c r="E691" s="433"/>
      <c r="F691" s="431"/>
      <c r="G691" s="431"/>
      <c r="H691" s="431"/>
      <c r="I691" s="436"/>
      <c r="J691" s="437"/>
    </row>
    <row r="692">
      <c r="A692" s="431"/>
      <c r="B692" s="431"/>
      <c r="C692" s="431"/>
      <c r="D692" s="433"/>
      <c r="E692" s="433"/>
      <c r="F692" s="431"/>
      <c r="G692" s="431"/>
      <c r="H692" s="431"/>
      <c r="I692" s="436"/>
      <c r="J692" s="437"/>
    </row>
    <row r="693">
      <c r="A693" s="431"/>
      <c r="B693" s="431"/>
      <c r="C693" s="431"/>
      <c r="D693" s="433"/>
      <c r="E693" s="433"/>
      <c r="F693" s="431"/>
      <c r="G693" s="431"/>
      <c r="H693" s="431"/>
      <c r="I693" s="436"/>
      <c r="J693" s="437"/>
    </row>
    <row r="694">
      <c r="A694" s="431"/>
      <c r="B694" s="431"/>
      <c r="C694" s="431"/>
      <c r="D694" s="433"/>
      <c r="E694" s="433"/>
      <c r="F694" s="431"/>
      <c r="G694" s="431"/>
      <c r="H694" s="431"/>
      <c r="I694" s="436"/>
      <c r="J694" s="437"/>
    </row>
    <row r="695">
      <c r="A695" s="431"/>
      <c r="B695" s="431"/>
      <c r="C695" s="431"/>
      <c r="D695" s="433"/>
      <c r="E695" s="433"/>
      <c r="F695" s="431"/>
      <c r="G695" s="431"/>
      <c r="H695" s="431"/>
      <c r="I695" s="436"/>
      <c r="J695" s="437"/>
    </row>
    <row r="696">
      <c r="A696" s="431"/>
      <c r="B696" s="431"/>
      <c r="C696" s="431"/>
      <c r="D696" s="433"/>
      <c r="E696" s="433"/>
      <c r="F696" s="431"/>
      <c r="G696" s="431"/>
      <c r="H696" s="431"/>
      <c r="I696" s="436"/>
      <c r="J696" s="437"/>
    </row>
    <row r="697">
      <c r="A697" s="431"/>
      <c r="B697" s="431"/>
      <c r="C697" s="431"/>
      <c r="D697" s="433"/>
      <c r="E697" s="433"/>
      <c r="F697" s="431"/>
      <c r="G697" s="431"/>
      <c r="H697" s="431"/>
      <c r="I697" s="436"/>
      <c r="J697" s="437"/>
    </row>
    <row r="698">
      <c r="A698" s="431"/>
      <c r="B698" s="431"/>
      <c r="C698" s="431"/>
      <c r="D698" s="433"/>
      <c r="E698" s="433"/>
      <c r="F698" s="431"/>
      <c r="G698" s="431"/>
      <c r="H698" s="431"/>
      <c r="I698" s="436"/>
      <c r="J698" s="437"/>
    </row>
    <row r="699">
      <c r="A699" s="431"/>
      <c r="B699" s="431"/>
      <c r="C699" s="431"/>
      <c r="D699" s="433"/>
      <c r="E699" s="433"/>
      <c r="F699" s="431"/>
      <c r="G699" s="431"/>
      <c r="H699" s="431"/>
      <c r="I699" s="436"/>
      <c r="J699" s="437"/>
    </row>
    <row r="700">
      <c r="A700" s="431"/>
      <c r="B700" s="431"/>
      <c r="C700" s="431"/>
      <c r="D700" s="433"/>
      <c r="E700" s="433"/>
      <c r="F700" s="431"/>
      <c r="G700" s="431"/>
      <c r="H700" s="431"/>
      <c r="I700" s="436"/>
      <c r="J700" s="437"/>
    </row>
    <row r="701">
      <c r="A701" s="431"/>
      <c r="B701" s="431"/>
      <c r="C701" s="431"/>
      <c r="D701" s="433"/>
      <c r="E701" s="433"/>
      <c r="F701" s="431"/>
      <c r="G701" s="431"/>
      <c r="H701" s="431"/>
      <c r="I701" s="436"/>
      <c r="J701" s="437"/>
    </row>
    <row r="702">
      <c r="A702" s="431"/>
      <c r="B702" s="431"/>
      <c r="C702" s="431"/>
      <c r="D702" s="433"/>
      <c r="E702" s="433"/>
      <c r="F702" s="431"/>
      <c r="G702" s="431"/>
      <c r="H702" s="431"/>
      <c r="I702" s="436"/>
      <c r="J702" s="437"/>
    </row>
    <row r="703">
      <c r="A703" s="431"/>
      <c r="B703" s="431"/>
      <c r="C703" s="431"/>
      <c r="D703" s="433"/>
      <c r="E703" s="433"/>
      <c r="F703" s="431"/>
      <c r="G703" s="431"/>
      <c r="H703" s="431"/>
      <c r="I703" s="436"/>
      <c r="J703" s="437"/>
    </row>
    <row r="704">
      <c r="A704" s="431"/>
      <c r="B704" s="431"/>
      <c r="C704" s="431"/>
      <c r="D704" s="433"/>
      <c r="E704" s="433"/>
      <c r="F704" s="431"/>
      <c r="G704" s="431"/>
      <c r="H704" s="431"/>
      <c r="I704" s="436"/>
      <c r="J704" s="437"/>
    </row>
    <row r="705">
      <c r="A705" s="431"/>
      <c r="B705" s="431"/>
      <c r="C705" s="431"/>
      <c r="D705" s="433"/>
      <c r="E705" s="433"/>
      <c r="F705" s="431"/>
      <c r="G705" s="431"/>
      <c r="H705" s="431"/>
      <c r="I705" s="436"/>
      <c r="J705" s="437"/>
    </row>
    <row r="706">
      <c r="A706" s="431"/>
      <c r="B706" s="431"/>
      <c r="C706" s="431"/>
      <c r="D706" s="433"/>
      <c r="E706" s="433"/>
      <c r="F706" s="431"/>
      <c r="G706" s="431"/>
      <c r="H706" s="431"/>
      <c r="I706" s="436"/>
      <c r="J706" s="437"/>
    </row>
    <row r="707">
      <c r="A707" s="431"/>
      <c r="B707" s="431"/>
      <c r="C707" s="431"/>
      <c r="D707" s="433"/>
      <c r="E707" s="433"/>
      <c r="F707" s="431"/>
      <c r="G707" s="431"/>
      <c r="H707" s="431"/>
      <c r="I707" s="436"/>
      <c r="J707" s="437"/>
    </row>
    <row r="708">
      <c r="A708" s="431"/>
      <c r="B708" s="431"/>
      <c r="C708" s="431"/>
      <c r="D708" s="433"/>
      <c r="E708" s="433"/>
      <c r="F708" s="431"/>
      <c r="G708" s="431"/>
      <c r="H708" s="431"/>
      <c r="I708" s="436"/>
      <c r="J708" s="437"/>
    </row>
    <row r="709">
      <c r="A709" s="431"/>
      <c r="B709" s="431"/>
      <c r="C709" s="431"/>
      <c r="D709" s="433"/>
      <c r="E709" s="433"/>
      <c r="F709" s="431"/>
      <c r="G709" s="431"/>
      <c r="H709" s="431"/>
      <c r="I709" s="436"/>
      <c r="J709" s="437"/>
    </row>
    <row r="710">
      <c r="A710" s="431"/>
      <c r="B710" s="431"/>
      <c r="C710" s="431"/>
      <c r="D710" s="433"/>
      <c r="E710" s="433"/>
      <c r="F710" s="431"/>
      <c r="G710" s="431"/>
      <c r="H710" s="431"/>
      <c r="I710" s="436"/>
      <c r="J710" s="437"/>
    </row>
    <row r="711">
      <c r="A711" s="431"/>
      <c r="B711" s="431"/>
      <c r="C711" s="431"/>
      <c r="D711" s="433"/>
      <c r="E711" s="433"/>
      <c r="F711" s="431"/>
      <c r="G711" s="431"/>
      <c r="H711" s="431"/>
      <c r="I711" s="436"/>
      <c r="J711" s="437"/>
    </row>
    <row r="712">
      <c r="A712" s="431"/>
      <c r="B712" s="431"/>
      <c r="C712" s="431"/>
      <c r="D712" s="433"/>
      <c r="E712" s="433"/>
      <c r="F712" s="431"/>
      <c r="G712" s="431"/>
      <c r="H712" s="431"/>
      <c r="I712" s="436"/>
      <c r="J712" s="437"/>
    </row>
    <row r="713">
      <c r="A713" s="431"/>
      <c r="B713" s="431"/>
      <c r="C713" s="431"/>
      <c r="D713" s="433"/>
      <c r="E713" s="433"/>
      <c r="F713" s="431"/>
      <c r="G713" s="431"/>
      <c r="H713" s="431"/>
      <c r="I713" s="436"/>
      <c r="J713" s="437"/>
    </row>
    <row r="714">
      <c r="A714" s="431"/>
      <c r="B714" s="431"/>
      <c r="C714" s="431"/>
      <c r="D714" s="433"/>
      <c r="E714" s="433"/>
      <c r="F714" s="431"/>
      <c r="G714" s="431"/>
      <c r="H714" s="431"/>
      <c r="I714" s="436"/>
      <c r="J714" s="437"/>
    </row>
    <row r="715">
      <c r="A715" s="431"/>
      <c r="B715" s="431"/>
      <c r="C715" s="431"/>
      <c r="D715" s="433"/>
      <c r="E715" s="433"/>
      <c r="F715" s="431"/>
      <c r="G715" s="431"/>
      <c r="H715" s="431"/>
      <c r="I715" s="436"/>
      <c r="J715" s="437"/>
    </row>
    <row r="716">
      <c r="A716" s="431"/>
      <c r="B716" s="431"/>
      <c r="C716" s="431"/>
      <c r="D716" s="433"/>
      <c r="E716" s="433"/>
      <c r="F716" s="431"/>
      <c r="G716" s="431"/>
      <c r="H716" s="431"/>
      <c r="I716" s="436"/>
      <c r="J716" s="437"/>
    </row>
    <row r="717">
      <c r="A717" s="431"/>
      <c r="B717" s="431"/>
      <c r="C717" s="431"/>
      <c r="D717" s="433"/>
      <c r="E717" s="433"/>
      <c r="F717" s="431"/>
      <c r="G717" s="431"/>
      <c r="H717" s="431"/>
      <c r="I717" s="436"/>
      <c r="J717" s="437"/>
    </row>
    <row r="718">
      <c r="A718" s="431"/>
      <c r="B718" s="431"/>
      <c r="C718" s="431"/>
      <c r="D718" s="433"/>
      <c r="E718" s="433"/>
      <c r="F718" s="431"/>
      <c r="G718" s="431"/>
      <c r="H718" s="431"/>
      <c r="I718" s="436"/>
      <c r="J718" s="437"/>
    </row>
    <row r="719">
      <c r="A719" s="431"/>
      <c r="B719" s="431"/>
      <c r="C719" s="431"/>
      <c r="D719" s="433"/>
      <c r="E719" s="433"/>
      <c r="F719" s="431"/>
      <c r="G719" s="431"/>
      <c r="H719" s="431"/>
      <c r="I719" s="436"/>
      <c r="J719" s="437"/>
    </row>
    <row r="720">
      <c r="A720" s="431"/>
      <c r="B720" s="431"/>
      <c r="C720" s="431"/>
      <c r="D720" s="433"/>
      <c r="E720" s="433"/>
      <c r="F720" s="431"/>
      <c r="G720" s="431"/>
      <c r="H720" s="431"/>
      <c r="I720" s="436"/>
      <c r="J720" s="437"/>
    </row>
    <row r="721">
      <c r="A721" s="431"/>
      <c r="B721" s="431"/>
      <c r="C721" s="431"/>
      <c r="D721" s="433"/>
      <c r="E721" s="433"/>
      <c r="F721" s="431"/>
      <c r="G721" s="431"/>
      <c r="H721" s="431"/>
      <c r="I721" s="436"/>
      <c r="J721" s="437"/>
    </row>
    <row r="722">
      <c r="A722" s="431"/>
      <c r="B722" s="431"/>
      <c r="C722" s="431"/>
      <c r="D722" s="433"/>
      <c r="E722" s="433"/>
      <c r="F722" s="431"/>
      <c r="G722" s="431"/>
      <c r="H722" s="431"/>
      <c r="I722" s="436"/>
      <c r="J722" s="437"/>
    </row>
    <row r="723">
      <c r="A723" s="431"/>
      <c r="B723" s="431"/>
      <c r="C723" s="431"/>
      <c r="D723" s="433"/>
      <c r="E723" s="433"/>
      <c r="F723" s="431"/>
      <c r="G723" s="431"/>
      <c r="H723" s="431"/>
      <c r="I723" s="436"/>
      <c r="J723" s="437"/>
    </row>
    <row r="724">
      <c r="A724" s="431"/>
      <c r="B724" s="431"/>
      <c r="C724" s="431"/>
      <c r="D724" s="433"/>
      <c r="E724" s="433"/>
      <c r="F724" s="431"/>
      <c r="G724" s="431"/>
      <c r="H724" s="431"/>
      <c r="I724" s="436"/>
      <c r="J724" s="437"/>
    </row>
    <row r="725">
      <c r="A725" s="431"/>
      <c r="B725" s="431"/>
      <c r="C725" s="431"/>
      <c r="D725" s="433"/>
      <c r="E725" s="433"/>
      <c r="F725" s="431"/>
      <c r="G725" s="431"/>
      <c r="H725" s="431"/>
      <c r="I725" s="436"/>
      <c r="J725" s="437"/>
    </row>
    <row r="726">
      <c r="A726" s="431"/>
      <c r="B726" s="431"/>
      <c r="C726" s="431"/>
      <c r="D726" s="433"/>
      <c r="E726" s="433"/>
      <c r="F726" s="431"/>
      <c r="G726" s="431"/>
      <c r="H726" s="431"/>
      <c r="I726" s="436"/>
      <c r="J726" s="437"/>
    </row>
    <row r="727">
      <c r="A727" s="431"/>
      <c r="B727" s="431"/>
      <c r="C727" s="431"/>
      <c r="D727" s="433"/>
      <c r="E727" s="433"/>
      <c r="F727" s="431"/>
      <c r="G727" s="431"/>
      <c r="H727" s="431"/>
      <c r="I727" s="436"/>
      <c r="J727" s="437"/>
    </row>
    <row r="728">
      <c r="A728" s="431"/>
      <c r="B728" s="431"/>
      <c r="C728" s="431"/>
      <c r="D728" s="433"/>
      <c r="E728" s="433"/>
      <c r="F728" s="431"/>
      <c r="G728" s="431"/>
      <c r="H728" s="431"/>
      <c r="I728" s="436"/>
      <c r="J728" s="437"/>
    </row>
    <row r="729">
      <c r="A729" s="431"/>
      <c r="B729" s="431"/>
      <c r="C729" s="431"/>
      <c r="D729" s="433"/>
      <c r="E729" s="433"/>
      <c r="F729" s="431"/>
      <c r="G729" s="431"/>
      <c r="H729" s="431"/>
      <c r="I729" s="436"/>
      <c r="J729" s="437"/>
    </row>
    <row r="730">
      <c r="A730" s="431"/>
      <c r="B730" s="431"/>
      <c r="C730" s="431"/>
      <c r="D730" s="433"/>
      <c r="E730" s="433"/>
      <c r="F730" s="431"/>
      <c r="G730" s="431"/>
      <c r="H730" s="431"/>
      <c r="I730" s="436"/>
      <c r="J730" s="437"/>
    </row>
    <row r="731">
      <c r="A731" s="431"/>
      <c r="B731" s="431"/>
      <c r="C731" s="431"/>
      <c r="D731" s="433"/>
      <c r="E731" s="433"/>
      <c r="F731" s="431"/>
      <c r="G731" s="431"/>
      <c r="H731" s="431"/>
      <c r="I731" s="436"/>
      <c r="J731" s="437"/>
    </row>
    <row r="732">
      <c r="A732" s="431"/>
      <c r="B732" s="431"/>
      <c r="C732" s="431"/>
      <c r="D732" s="433"/>
      <c r="E732" s="433"/>
      <c r="F732" s="431"/>
      <c r="G732" s="431"/>
      <c r="H732" s="431"/>
      <c r="I732" s="436"/>
      <c r="J732" s="437"/>
    </row>
    <row r="733">
      <c r="A733" s="431"/>
      <c r="B733" s="431"/>
      <c r="C733" s="431"/>
      <c r="D733" s="433"/>
      <c r="E733" s="433"/>
      <c r="F733" s="431"/>
      <c r="G733" s="431"/>
      <c r="H733" s="431"/>
      <c r="I733" s="436"/>
      <c r="J733" s="437"/>
    </row>
    <row r="734">
      <c r="A734" s="431"/>
      <c r="B734" s="431"/>
      <c r="C734" s="431"/>
      <c r="D734" s="433"/>
      <c r="E734" s="433"/>
      <c r="F734" s="431"/>
      <c r="G734" s="431"/>
      <c r="H734" s="431"/>
      <c r="I734" s="436"/>
      <c r="J734" s="437"/>
    </row>
    <row r="735">
      <c r="A735" s="431"/>
      <c r="B735" s="431"/>
      <c r="C735" s="431"/>
      <c r="D735" s="433"/>
      <c r="E735" s="433"/>
      <c r="F735" s="431"/>
      <c r="G735" s="431"/>
      <c r="H735" s="431"/>
      <c r="I735" s="436"/>
      <c r="J735" s="437"/>
    </row>
    <row r="736">
      <c r="A736" s="431"/>
      <c r="B736" s="431"/>
      <c r="C736" s="431"/>
      <c r="D736" s="433"/>
      <c r="E736" s="433"/>
      <c r="F736" s="431"/>
      <c r="G736" s="431"/>
      <c r="H736" s="431"/>
      <c r="I736" s="436"/>
      <c r="J736" s="437"/>
    </row>
    <row r="737">
      <c r="A737" s="431"/>
      <c r="B737" s="431"/>
      <c r="C737" s="431"/>
      <c r="D737" s="433"/>
      <c r="E737" s="433"/>
      <c r="F737" s="431"/>
      <c r="G737" s="431"/>
      <c r="H737" s="431"/>
      <c r="I737" s="436"/>
      <c r="J737" s="437"/>
    </row>
    <row r="738">
      <c r="A738" s="431"/>
      <c r="B738" s="431"/>
      <c r="C738" s="431"/>
      <c r="D738" s="433"/>
      <c r="E738" s="433"/>
      <c r="F738" s="431"/>
      <c r="G738" s="431"/>
      <c r="H738" s="431"/>
      <c r="I738" s="436"/>
      <c r="J738" s="437"/>
    </row>
    <row r="739">
      <c r="A739" s="431"/>
      <c r="B739" s="431"/>
      <c r="C739" s="431"/>
      <c r="D739" s="433"/>
      <c r="E739" s="433"/>
      <c r="F739" s="431"/>
      <c r="G739" s="431"/>
      <c r="H739" s="431"/>
      <c r="I739" s="436"/>
      <c r="J739" s="437"/>
    </row>
    <row r="740">
      <c r="A740" s="431"/>
      <c r="B740" s="431"/>
      <c r="C740" s="431"/>
      <c r="D740" s="433"/>
      <c r="E740" s="433"/>
      <c r="F740" s="431"/>
      <c r="G740" s="431"/>
      <c r="H740" s="431"/>
      <c r="I740" s="436"/>
      <c r="J740" s="437"/>
    </row>
    <row r="741">
      <c r="A741" s="431"/>
      <c r="B741" s="431"/>
      <c r="C741" s="431"/>
      <c r="D741" s="433"/>
      <c r="E741" s="433"/>
      <c r="F741" s="431"/>
      <c r="G741" s="431"/>
      <c r="H741" s="431"/>
      <c r="I741" s="436"/>
      <c r="J741" s="437"/>
    </row>
    <row r="742">
      <c r="A742" s="431"/>
      <c r="B742" s="431"/>
      <c r="C742" s="431"/>
      <c r="D742" s="433"/>
      <c r="E742" s="433"/>
      <c r="F742" s="431"/>
      <c r="G742" s="431"/>
      <c r="H742" s="431"/>
      <c r="I742" s="436"/>
      <c r="J742" s="437"/>
    </row>
    <row r="743">
      <c r="A743" s="431"/>
      <c r="B743" s="431"/>
      <c r="C743" s="431"/>
      <c r="D743" s="433"/>
      <c r="E743" s="433"/>
      <c r="F743" s="431"/>
      <c r="G743" s="431"/>
      <c r="H743" s="431"/>
      <c r="I743" s="436"/>
      <c r="J743" s="437"/>
    </row>
    <row r="744">
      <c r="A744" s="431"/>
      <c r="B744" s="431"/>
      <c r="C744" s="431"/>
      <c r="D744" s="433"/>
      <c r="E744" s="433"/>
      <c r="F744" s="431"/>
      <c r="G744" s="431"/>
      <c r="H744" s="431"/>
      <c r="I744" s="436"/>
      <c r="J744" s="437"/>
    </row>
    <row r="745">
      <c r="A745" s="431"/>
      <c r="B745" s="431"/>
      <c r="C745" s="431"/>
      <c r="D745" s="433"/>
      <c r="E745" s="433"/>
      <c r="F745" s="431"/>
      <c r="G745" s="431"/>
      <c r="H745" s="431"/>
      <c r="I745" s="436"/>
      <c r="J745" s="437"/>
    </row>
    <row r="746">
      <c r="A746" s="431"/>
      <c r="B746" s="431"/>
      <c r="C746" s="431"/>
      <c r="D746" s="433"/>
      <c r="E746" s="433"/>
      <c r="F746" s="431"/>
      <c r="G746" s="431"/>
      <c r="H746" s="431"/>
      <c r="I746" s="436"/>
      <c r="J746" s="437"/>
    </row>
    <row r="747">
      <c r="A747" s="431"/>
      <c r="B747" s="431"/>
      <c r="C747" s="431"/>
      <c r="D747" s="433"/>
      <c r="E747" s="433"/>
      <c r="F747" s="431"/>
      <c r="G747" s="431"/>
      <c r="H747" s="431"/>
      <c r="I747" s="436"/>
      <c r="J747" s="437"/>
    </row>
    <row r="748">
      <c r="A748" s="431"/>
      <c r="B748" s="431"/>
      <c r="C748" s="431"/>
      <c r="D748" s="433"/>
      <c r="E748" s="433"/>
      <c r="F748" s="431"/>
      <c r="G748" s="431"/>
      <c r="H748" s="431"/>
      <c r="I748" s="436"/>
      <c r="J748" s="437"/>
    </row>
    <row r="749">
      <c r="A749" s="431"/>
      <c r="B749" s="431"/>
      <c r="C749" s="431"/>
      <c r="D749" s="433"/>
      <c r="E749" s="433"/>
      <c r="F749" s="431"/>
      <c r="G749" s="431"/>
      <c r="H749" s="431"/>
      <c r="I749" s="436"/>
      <c r="J749" s="437"/>
    </row>
    <row r="750">
      <c r="A750" s="431"/>
      <c r="B750" s="431"/>
      <c r="C750" s="431"/>
      <c r="D750" s="433"/>
      <c r="E750" s="433"/>
      <c r="F750" s="431"/>
      <c r="G750" s="431"/>
      <c r="H750" s="431"/>
      <c r="I750" s="436"/>
      <c r="J750" s="437"/>
    </row>
    <row r="751">
      <c r="A751" s="431"/>
      <c r="B751" s="431"/>
      <c r="C751" s="431"/>
      <c r="D751" s="433"/>
      <c r="E751" s="433"/>
      <c r="F751" s="431"/>
      <c r="G751" s="431"/>
      <c r="H751" s="431"/>
      <c r="I751" s="436"/>
      <c r="J751" s="437"/>
    </row>
    <row r="752">
      <c r="A752" s="431"/>
      <c r="B752" s="431"/>
      <c r="C752" s="431"/>
      <c r="D752" s="433"/>
      <c r="E752" s="433"/>
      <c r="F752" s="431"/>
      <c r="G752" s="431"/>
      <c r="H752" s="431"/>
      <c r="I752" s="436"/>
      <c r="J752" s="437"/>
    </row>
    <row r="753">
      <c r="A753" s="431"/>
      <c r="B753" s="431"/>
      <c r="C753" s="431"/>
      <c r="D753" s="433"/>
      <c r="E753" s="433"/>
      <c r="F753" s="431"/>
      <c r="G753" s="431"/>
      <c r="H753" s="431"/>
      <c r="I753" s="436"/>
      <c r="J753" s="437"/>
    </row>
    <row r="754">
      <c r="A754" s="431"/>
      <c r="B754" s="431"/>
      <c r="C754" s="431"/>
      <c r="D754" s="433"/>
      <c r="E754" s="433"/>
      <c r="F754" s="431"/>
      <c r="G754" s="431"/>
      <c r="H754" s="431"/>
      <c r="I754" s="436"/>
      <c r="J754" s="437"/>
    </row>
    <row r="755">
      <c r="A755" s="431"/>
      <c r="B755" s="431"/>
      <c r="C755" s="431"/>
      <c r="D755" s="433"/>
      <c r="E755" s="433"/>
      <c r="F755" s="431"/>
      <c r="G755" s="431"/>
      <c r="H755" s="431"/>
      <c r="I755" s="436"/>
      <c r="J755" s="437"/>
    </row>
    <row r="756">
      <c r="A756" s="431"/>
      <c r="B756" s="431"/>
      <c r="C756" s="431"/>
      <c r="D756" s="433"/>
      <c r="E756" s="433"/>
      <c r="F756" s="431"/>
      <c r="G756" s="431"/>
      <c r="H756" s="431"/>
      <c r="I756" s="436"/>
      <c r="J756" s="437"/>
    </row>
    <row r="757">
      <c r="A757" s="431"/>
      <c r="B757" s="431"/>
      <c r="C757" s="431"/>
      <c r="D757" s="433"/>
      <c r="E757" s="433"/>
      <c r="F757" s="431"/>
      <c r="G757" s="431"/>
      <c r="H757" s="431"/>
      <c r="I757" s="436"/>
      <c r="J757" s="437"/>
    </row>
    <row r="758">
      <c r="A758" s="431"/>
      <c r="B758" s="431"/>
      <c r="C758" s="431"/>
      <c r="D758" s="433"/>
      <c r="E758" s="433"/>
      <c r="F758" s="431"/>
      <c r="G758" s="431"/>
      <c r="H758" s="431"/>
      <c r="I758" s="436"/>
      <c r="J758" s="437"/>
    </row>
    <row r="759">
      <c r="A759" s="431"/>
      <c r="B759" s="431"/>
      <c r="C759" s="431"/>
      <c r="D759" s="433"/>
      <c r="E759" s="433"/>
      <c r="F759" s="431"/>
      <c r="G759" s="431"/>
      <c r="H759" s="431"/>
      <c r="I759" s="436"/>
      <c r="J759" s="437"/>
    </row>
    <row r="760">
      <c r="A760" s="431"/>
      <c r="B760" s="431"/>
      <c r="C760" s="431"/>
      <c r="D760" s="433"/>
      <c r="E760" s="433"/>
      <c r="F760" s="431"/>
      <c r="G760" s="431"/>
      <c r="H760" s="431"/>
      <c r="I760" s="436"/>
      <c r="J760" s="437"/>
    </row>
    <row r="761">
      <c r="A761" s="431"/>
      <c r="B761" s="431"/>
      <c r="C761" s="431"/>
      <c r="D761" s="433"/>
      <c r="E761" s="433"/>
      <c r="F761" s="431"/>
      <c r="G761" s="431"/>
      <c r="H761" s="431"/>
      <c r="I761" s="436"/>
      <c r="J761" s="437"/>
    </row>
    <row r="762">
      <c r="A762" s="431"/>
      <c r="B762" s="431"/>
      <c r="C762" s="431"/>
      <c r="D762" s="433"/>
      <c r="E762" s="433"/>
      <c r="F762" s="431"/>
      <c r="G762" s="431"/>
      <c r="H762" s="431"/>
      <c r="I762" s="436"/>
      <c r="J762" s="437"/>
    </row>
    <row r="763">
      <c r="A763" s="431"/>
      <c r="B763" s="431"/>
      <c r="C763" s="431"/>
      <c r="D763" s="433"/>
      <c r="E763" s="433"/>
      <c r="F763" s="431"/>
      <c r="G763" s="431"/>
      <c r="H763" s="431"/>
      <c r="I763" s="436"/>
      <c r="J763" s="437"/>
    </row>
    <row r="764">
      <c r="A764" s="431"/>
      <c r="B764" s="431"/>
      <c r="C764" s="431"/>
      <c r="D764" s="433"/>
      <c r="E764" s="433"/>
      <c r="F764" s="431"/>
      <c r="G764" s="431"/>
      <c r="H764" s="431"/>
      <c r="I764" s="436"/>
      <c r="J764" s="437"/>
    </row>
    <row r="765">
      <c r="A765" s="431"/>
      <c r="B765" s="431"/>
      <c r="C765" s="431"/>
      <c r="D765" s="433"/>
      <c r="E765" s="433"/>
      <c r="F765" s="431"/>
      <c r="G765" s="431"/>
      <c r="H765" s="431"/>
      <c r="I765" s="436"/>
      <c r="J765" s="437"/>
    </row>
    <row r="766">
      <c r="A766" s="431"/>
      <c r="B766" s="431"/>
      <c r="C766" s="431"/>
      <c r="D766" s="433"/>
      <c r="E766" s="433"/>
      <c r="F766" s="431"/>
      <c r="G766" s="431"/>
      <c r="H766" s="431"/>
      <c r="I766" s="436"/>
      <c r="J766" s="437"/>
    </row>
    <row r="767">
      <c r="A767" s="431"/>
      <c r="B767" s="431"/>
      <c r="C767" s="431"/>
      <c r="D767" s="433"/>
      <c r="E767" s="433"/>
      <c r="F767" s="431"/>
      <c r="G767" s="431"/>
      <c r="H767" s="431"/>
      <c r="I767" s="436"/>
      <c r="J767" s="437"/>
    </row>
    <row r="768">
      <c r="A768" s="431"/>
      <c r="B768" s="431"/>
      <c r="C768" s="431"/>
      <c r="D768" s="433"/>
      <c r="E768" s="433"/>
      <c r="F768" s="431"/>
      <c r="G768" s="431"/>
      <c r="H768" s="431"/>
      <c r="I768" s="436"/>
      <c r="J768" s="437"/>
    </row>
    <row r="769">
      <c r="A769" s="431"/>
      <c r="B769" s="431"/>
      <c r="C769" s="431"/>
      <c r="D769" s="433"/>
      <c r="E769" s="433"/>
      <c r="F769" s="431"/>
      <c r="G769" s="431"/>
      <c r="H769" s="431"/>
      <c r="I769" s="436"/>
      <c r="J769" s="437"/>
    </row>
    <row r="770">
      <c r="A770" s="431"/>
      <c r="B770" s="431"/>
      <c r="C770" s="431"/>
      <c r="D770" s="433"/>
      <c r="E770" s="433"/>
      <c r="F770" s="431"/>
      <c r="G770" s="431"/>
      <c r="H770" s="431"/>
      <c r="I770" s="436"/>
      <c r="J770" s="437"/>
    </row>
    <row r="771">
      <c r="A771" s="431"/>
      <c r="B771" s="431"/>
      <c r="C771" s="431"/>
      <c r="D771" s="433"/>
      <c r="E771" s="433"/>
      <c r="F771" s="431"/>
      <c r="G771" s="431"/>
      <c r="H771" s="431"/>
      <c r="I771" s="436"/>
      <c r="J771" s="437"/>
    </row>
    <row r="772">
      <c r="A772" s="431"/>
      <c r="B772" s="431"/>
      <c r="C772" s="431"/>
      <c r="D772" s="433"/>
      <c r="E772" s="433"/>
      <c r="F772" s="431"/>
      <c r="G772" s="431"/>
      <c r="H772" s="431"/>
      <c r="I772" s="436"/>
      <c r="J772" s="437"/>
    </row>
    <row r="773">
      <c r="A773" s="431"/>
      <c r="B773" s="431"/>
      <c r="C773" s="431"/>
      <c r="D773" s="433"/>
      <c r="E773" s="433"/>
      <c r="F773" s="431"/>
      <c r="G773" s="431"/>
      <c r="H773" s="431"/>
      <c r="I773" s="436"/>
      <c r="J773" s="437"/>
    </row>
    <row r="774">
      <c r="A774" s="431"/>
      <c r="B774" s="431"/>
      <c r="C774" s="431"/>
      <c r="D774" s="433"/>
      <c r="E774" s="433"/>
      <c r="F774" s="431"/>
      <c r="G774" s="431"/>
      <c r="H774" s="431"/>
      <c r="I774" s="436"/>
      <c r="J774" s="437"/>
    </row>
    <row r="775">
      <c r="A775" s="431"/>
      <c r="B775" s="431"/>
      <c r="C775" s="431"/>
      <c r="D775" s="433"/>
      <c r="E775" s="433"/>
      <c r="F775" s="431"/>
      <c r="G775" s="431"/>
      <c r="H775" s="431"/>
      <c r="I775" s="436"/>
      <c r="J775" s="437"/>
    </row>
    <row r="776">
      <c r="A776" s="431"/>
      <c r="B776" s="431"/>
      <c r="C776" s="431"/>
      <c r="D776" s="433"/>
      <c r="E776" s="433"/>
      <c r="F776" s="431"/>
      <c r="G776" s="431"/>
      <c r="H776" s="431"/>
      <c r="I776" s="436"/>
      <c r="J776" s="437"/>
    </row>
    <row r="777">
      <c r="A777" s="431"/>
      <c r="B777" s="431"/>
      <c r="C777" s="431"/>
      <c r="D777" s="433"/>
      <c r="E777" s="433"/>
      <c r="F777" s="431"/>
      <c r="G777" s="431"/>
      <c r="H777" s="431"/>
      <c r="I777" s="436"/>
      <c r="J777" s="437"/>
    </row>
    <row r="778">
      <c r="A778" s="431"/>
      <c r="B778" s="431"/>
      <c r="C778" s="431"/>
      <c r="D778" s="433"/>
      <c r="E778" s="433"/>
      <c r="F778" s="431"/>
      <c r="G778" s="431"/>
      <c r="H778" s="431"/>
      <c r="I778" s="436"/>
      <c r="J778" s="437"/>
    </row>
    <row r="779">
      <c r="A779" s="431"/>
      <c r="B779" s="431"/>
      <c r="C779" s="431"/>
      <c r="D779" s="433"/>
      <c r="E779" s="433"/>
      <c r="F779" s="431"/>
      <c r="G779" s="431"/>
      <c r="H779" s="431"/>
      <c r="I779" s="436"/>
      <c r="J779" s="437"/>
    </row>
    <row r="780">
      <c r="A780" s="431"/>
      <c r="B780" s="431"/>
      <c r="C780" s="431"/>
      <c r="D780" s="433"/>
      <c r="E780" s="433"/>
      <c r="F780" s="431"/>
      <c r="G780" s="431"/>
      <c r="H780" s="431"/>
      <c r="I780" s="436"/>
      <c r="J780" s="437"/>
    </row>
    <row r="781">
      <c r="A781" s="431"/>
      <c r="B781" s="431"/>
      <c r="C781" s="431"/>
      <c r="D781" s="433"/>
      <c r="E781" s="433"/>
      <c r="F781" s="431"/>
      <c r="G781" s="431"/>
      <c r="H781" s="431"/>
      <c r="I781" s="436"/>
      <c r="J781" s="437"/>
    </row>
    <row r="782">
      <c r="A782" s="431"/>
      <c r="B782" s="431"/>
      <c r="C782" s="431"/>
      <c r="D782" s="433"/>
      <c r="E782" s="433"/>
      <c r="F782" s="431"/>
      <c r="G782" s="431"/>
      <c r="H782" s="431"/>
      <c r="I782" s="436"/>
      <c r="J782" s="437"/>
    </row>
    <row r="783">
      <c r="A783" s="431"/>
      <c r="B783" s="431"/>
      <c r="C783" s="431"/>
      <c r="D783" s="433"/>
      <c r="E783" s="433"/>
      <c r="F783" s="431"/>
      <c r="G783" s="431"/>
      <c r="H783" s="431"/>
      <c r="I783" s="436"/>
      <c r="J783" s="437"/>
    </row>
    <row r="784">
      <c r="A784" s="431"/>
      <c r="B784" s="431"/>
      <c r="C784" s="431"/>
      <c r="D784" s="433"/>
      <c r="E784" s="433"/>
      <c r="F784" s="431"/>
      <c r="G784" s="431"/>
      <c r="H784" s="431"/>
      <c r="I784" s="436"/>
      <c r="J784" s="437"/>
    </row>
    <row r="785">
      <c r="A785" s="431"/>
      <c r="B785" s="431"/>
      <c r="C785" s="431"/>
      <c r="D785" s="433"/>
      <c r="E785" s="433"/>
      <c r="F785" s="431"/>
      <c r="G785" s="431"/>
      <c r="H785" s="431"/>
      <c r="I785" s="436"/>
      <c r="J785" s="437"/>
    </row>
    <row r="786">
      <c r="A786" s="431"/>
      <c r="B786" s="431"/>
      <c r="C786" s="431"/>
      <c r="D786" s="433"/>
      <c r="E786" s="433"/>
      <c r="F786" s="431"/>
      <c r="G786" s="431"/>
      <c r="H786" s="431"/>
      <c r="I786" s="436"/>
      <c r="J786" s="437"/>
    </row>
    <row r="787">
      <c r="A787" s="431"/>
      <c r="B787" s="431"/>
      <c r="C787" s="431"/>
      <c r="D787" s="433"/>
      <c r="E787" s="433"/>
      <c r="F787" s="431"/>
      <c r="G787" s="431"/>
      <c r="H787" s="431"/>
      <c r="I787" s="436"/>
      <c r="J787" s="437"/>
    </row>
    <row r="788">
      <c r="A788" s="431"/>
      <c r="B788" s="431"/>
      <c r="C788" s="431"/>
      <c r="D788" s="433"/>
      <c r="E788" s="433"/>
      <c r="F788" s="431"/>
      <c r="G788" s="431"/>
      <c r="H788" s="431"/>
      <c r="I788" s="436"/>
      <c r="J788" s="437"/>
    </row>
    <row r="789">
      <c r="A789" s="431"/>
      <c r="B789" s="431"/>
      <c r="C789" s="431"/>
      <c r="D789" s="433"/>
      <c r="E789" s="433"/>
      <c r="F789" s="431"/>
      <c r="G789" s="431"/>
      <c r="H789" s="431"/>
      <c r="I789" s="436"/>
      <c r="J789" s="437"/>
    </row>
    <row r="790">
      <c r="A790" s="431"/>
      <c r="B790" s="431"/>
      <c r="C790" s="431"/>
      <c r="D790" s="433"/>
      <c r="E790" s="433"/>
      <c r="F790" s="431"/>
      <c r="G790" s="431"/>
      <c r="H790" s="431"/>
      <c r="I790" s="436"/>
      <c r="J790" s="437"/>
    </row>
    <row r="791">
      <c r="A791" s="431"/>
      <c r="B791" s="431"/>
      <c r="C791" s="431"/>
      <c r="D791" s="433"/>
      <c r="E791" s="433"/>
      <c r="F791" s="431"/>
      <c r="G791" s="431"/>
      <c r="H791" s="431"/>
      <c r="I791" s="436"/>
      <c r="J791" s="437"/>
    </row>
    <row r="792">
      <c r="A792" s="431"/>
      <c r="B792" s="431"/>
      <c r="C792" s="431"/>
      <c r="D792" s="433"/>
      <c r="E792" s="433"/>
      <c r="F792" s="431"/>
      <c r="G792" s="431"/>
      <c r="H792" s="431"/>
      <c r="I792" s="436"/>
      <c r="J792" s="437"/>
    </row>
    <row r="793">
      <c r="A793" s="431"/>
      <c r="B793" s="431"/>
      <c r="C793" s="431"/>
      <c r="D793" s="433"/>
      <c r="E793" s="433"/>
      <c r="F793" s="431"/>
      <c r="G793" s="431"/>
      <c r="H793" s="431"/>
      <c r="I793" s="436"/>
      <c r="J793" s="437"/>
    </row>
    <row r="794">
      <c r="A794" s="431"/>
      <c r="B794" s="431"/>
      <c r="C794" s="431"/>
      <c r="D794" s="433"/>
      <c r="E794" s="433"/>
      <c r="F794" s="431"/>
      <c r="G794" s="431"/>
      <c r="H794" s="431"/>
      <c r="I794" s="436"/>
      <c r="J794" s="437"/>
    </row>
    <row r="795">
      <c r="A795" s="431"/>
      <c r="B795" s="431"/>
      <c r="C795" s="431"/>
      <c r="D795" s="433"/>
      <c r="E795" s="433"/>
      <c r="F795" s="431"/>
      <c r="G795" s="431"/>
      <c r="H795" s="431"/>
      <c r="I795" s="436"/>
      <c r="J795" s="437"/>
    </row>
    <row r="796">
      <c r="A796" s="431"/>
      <c r="B796" s="431"/>
      <c r="C796" s="431"/>
      <c r="D796" s="433"/>
      <c r="E796" s="433"/>
      <c r="F796" s="431"/>
      <c r="G796" s="431"/>
      <c r="H796" s="431"/>
      <c r="I796" s="436"/>
      <c r="J796" s="437"/>
    </row>
    <row r="797">
      <c r="A797" s="431"/>
      <c r="B797" s="431"/>
      <c r="C797" s="431"/>
      <c r="D797" s="433"/>
      <c r="E797" s="433"/>
      <c r="F797" s="431"/>
      <c r="G797" s="431"/>
      <c r="H797" s="431"/>
      <c r="I797" s="436"/>
      <c r="J797" s="437"/>
    </row>
    <row r="798">
      <c r="A798" s="431"/>
      <c r="B798" s="431"/>
      <c r="C798" s="431"/>
      <c r="D798" s="433"/>
      <c r="E798" s="433"/>
      <c r="F798" s="431"/>
      <c r="G798" s="431"/>
      <c r="H798" s="431"/>
      <c r="I798" s="436"/>
      <c r="J798" s="437"/>
    </row>
    <row r="799">
      <c r="A799" s="431"/>
      <c r="B799" s="431"/>
      <c r="C799" s="431"/>
      <c r="D799" s="433"/>
      <c r="E799" s="433"/>
      <c r="F799" s="431"/>
      <c r="G799" s="431"/>
      <c r="H799" s="431"/>
      <c r="I799" s="436"/>
      <c r="J799" s="437"/>
    </row>
    <row r="800">
      <c r="A800" s="431"/>
      <c r="B800" s="431"/>
      <c r="C800" s="431"/>
      <c r="D800" s="433"/>
      <c r="E800" s="433"/>
      <c r="F800" s="431"/>
      <c r="G800" s="431"/>
      <c r="H800" s="431"/>
      <c r="I800" s="436"/>
      <c r="J800" s="437"/>
    </row>
    <row r="801">
      <c r="A801" s="431"/>
      <c r="B801" s="431"/>
      <c r="C801" s="431"/>
      <c r="D801" s="433"/>
      <c r="E801" s="433"/>
      <c r="F801" s="431"/>
      <c r="G801" s="431"/>
      <c r="H801" s="431"/>
      <c r="I801" s="436"/>
      <c r="J801" s="437"/>
    </row>
    <row r="802">
      <c r="A802" s="431"/>
      <c r="B802" s="431"/>
      <c r="C802" s="431"/>
      <c r="D802" s="433"/>
      <c r="E802" s="433"/>
      <c r="F802" s="431"/>
      <c r="G802" s="431"/>
      <c r="H802" s="431"/>
      <c r="I802" s="436"/>
      <c r="J802" s="437"/>
    </row>
    <row r="803">
      <c r="A803" s="431"/>
      <c r="B803" s="431"/>
      <c r="C803" s="431"/>
      <c r="D803" s="433"/>
      <c r="E803" s="433"/>
      <c r="F803" s="431"/>
      <c r="G803" s="431"/>
      <c r="H803" s="431"/>
      <c r="I803" s="436"/>
      <c r="J803" s="437"/>
    </row>
    <row r="804">
      <c r="A804" s="431"/>
      <c r="B804" s="431"/>
      <c r="C804" s="431"/>
      <c r="D804" s="433"/>
      <c r="E804" s="433"/>
      <c r="F804" s="431"/>
      <c r="G804" s="431"/>
      <c r="H804" s="431"/>
      <c r="I804" s="436"/>
      <c r="J804" s="437"/>
    </row>
    <row r="805">
      <c r="A805" s="431"/>
      <c r="B805" s="431"/>
      <c r="C805" s="431"/>
      <c r="D805" s="433"/>
      <c r="E805" s="433"/>
      <c r="F805" s="431"/>
      <c r="G805" s="431"/>
      <c r="H805" s="431"/>
      <c r="I805" s="436"/>
      <c r="J805" s="437"/>
    </row>
    <row r="806">
      <c r="A806" s="431"/>
      <c r="B806" s="431"/>
      <c r="C806" s="431"/>
      <c r="D806" s="433"/>
      <c r="E806" s="433"/>
      <c r="F806" s="431"/>
      <c r="G806" s="431"/>
      <c r="H806" s="431"/>
      <c r="I806" s="436"/>
      <c r="J806" s="437"/>
    </row>
    <row r="807">
      <c r="A807" s="431"/>
      <c r="B807" s="431"/>
      <c r="C807" s="431"/>
      <c r="D807" s="433"/>
      <c r="E807" s="433"/>
      <c r="F807" s="431"/>
      <c r="G807" s="431"/>
      <c r="H807" s="431"/>
      <c r="I807" s="436"/>
      <c r="J807" s="437"/>
    </row>
    <row r="808">
      <c r="A808" s="431"/>
      <c r="B808" s="431"/>
      <c r="C808" s="431"/>
      <c r="D808" s="433"/>
      <c r="E808" s="433"/>
      <c r="F808" s="431"/>
      <c r="G808" s="431"/>
      <c r="H808" s="431"/>
      <c r="I808" s="436"/>
      <c r="J808" s="437"/>
    </row>
    <row r="809">
      <c r="A809" s="431"/>
      <c r="B809" s="431"/>
      <c r="C809" s="431"/>
      <c r="D809" s="433"/>
      <c r="E809" s="433"/>
      <c r="F809" s="431"/>
      <c r="G809" s="431"/>
      <c r="H809" s="431"/>
      <c r="I809" s="436"/>
      <c r="J809" s="437"/>
    </row>
    <row r="810">
      <c r="A810" s="431"/>
      <c r="B810" s="431"/>
      <c r="C810" s="431"/>
      <c r="D810" s="433"/>
      <c r="E810" s="433"/>
      <c r="F810" s="431"/>
      <c r="G810" s="431"/>
      <c r="H810" s="431"/>
      <c r="I810" s="436"/>
      <c r="J810" s="437"/>
    </row>
    <row r="811">
      <c r="A811" s="431"/>
      <c r="B811" s="431"/>
      <c r="C811" s="431"/>
      <c r="D811" s="433"/>
      <c r="E811" s="433"/>
      <c r="F811" s="431"/>
      <c r="G811" s="431"/>
      <c r="H811" s="431"/>
      <c r="I811" s="436"/>
      <c r="J811" s="437"/>
    </row>
    <row r="812">
      <c r="A812" s="431"/>
      <c r="B812" s="431"/>
      <c r="C812" s="431"/>
      <c r="D812" s="433"/>
      <c r="E812" s="433"/>
      <c r="F812" s="431"/>
      <c r="G812" s="431"/>
      <c r="H812" s="431"/>
      <c r="I812" s="436"/>
      <c r="J812" s="437"/>
    </row>
    <row r="813">
      <c r="A813" s="431"/>
      <c r="B813" s="431"/>
      <c r="C813" s="431"/>
      <c r="D813" s="433"/>
      <c r="E813" s="433"/>
      <c r="F813" s="431"/>
      <c r="G813" s="431"/>
      <c r="H813" s="431"/>
      <c r="I813" s="436"/>
      <c r="J813" s="437"/>
    </row>
    <row r="814">
      <c r="A814" s="431"/>
      <c r="B814" s="431"/>
      <c r="C814" s="431"/>
      <c r="D814" s="433"/>
      <c r="E814" s="433"/>
      <c r="F814" s="431"/>
      <c r="G814" s="431"/>
      <c r="H814" s="431"/>
      <c r="I814" s="436"/>
      <c r="J814" s="437"/>
    </row>
    <row r="815">
      <c r="A815" s="431"/>
      <c r="B815" s="431"/>
      <c r="C815" s="431"/>
      <c r="D815" s="433"/>
      <c r="E815" s="433"/>
      <c r="F815" s="431"/>
      <c r="G815" s="431"/>
      <c r="H815" s="431"/>
      <c r="I815" s="436"/>
      <c r="J815" s="437"/>
    </row>
    <row r="816">
      <c r="A816" s="431"/>
      <c r="B816" s="431"/>
      <c r="C816" s="431"/>
      <c r="D816" s="433"/>
      <c r="E816" s="433"/>
      <c r="F816" s="431"/>
      <c r="G816" s="431"/>
      <c r="H816" s="431"/>
      <c r="I816" s="436"/>
      <c r="J816" s="437"/>
    </row>
    <row r="817">
      <c r="A817" s="431"/>
      <c r="B817" s="431"/>
      <c r="C817" s="431"/>
      <c r="D817" s="433"/>
      <c r="E817" s="433"/>
      <c r="F817" s="431"/>
      <c r="G817" s="431"/>
      <c r="H817" s="431"/>
      <c r="I817" s="436"/>
      <c r="J817" s="437"/>
    </row>
    <row r="818">
      <c r="A818" s="431"/>
      <c r="B818" s="431"/>
      <c r="C818" s="431"/>
      <c r="D818" s="433"/>
      <c r="E818" s="433"/>
      <c r="F818" s="431"/>
      <c r="G818" s="431"/>
      <c r="H818" s="431"/>
      <c r="I818" s="436"/>
      <c r="J818" s="437"/>
    </row>
    <row r="819">
      <c r="A819" s="431"/>
      <c r="B819" s="431"/>
      <c r="C819" s="431"/>
      <c r="D819" s="433"/>
      <c r="E819" s="433"/>
      <c r="F819" s="431"/>
      <c r="G819" s="431"/>
      <c r="H819" s="431"/>
      <c r="I819" s="436"/>
      <c r="J819" s="437"/>
    </row>
    <row r="820">
      <c r="A820" s="431"/>
      <c r="B820" s="431"/>
      <c r="C820" s="431"/>
      <c r="D820" s="433"/>
      <c r="E820" s="433"/>
      <c r="F820" s="431"/>
      <c r="G820" s="431"/>
      <c r="H820" s="431"/>
      <c r="I820" s="436"/>
      <c r="J820" s="437"/>
    </row>
    <row r="821">
      <c r="A821" s="431"/>
      <c r="B821" s="431"/>
      <c r="C821" s="431"/>
      <c r="D821" s="433"/>
      <c r="E821" s="433"/>
      <c r="F821" s="431"/>
      <c r="G821" s="431"/>
      <c r="H821" s="431"/>
      <c r="I821" s="436"/>
      <c r="J821" s="437"/>
    </row>
    <row r="822">
      <c r="A822" s="431"/>
      <c r="B822" s="431"/>
      <c r="C822" s="431"/>
      <c r="D822" s="433"/>
      <c r="E822" s="433"/>
      <c r="F822" s="431"/>
      <c r="G822" s="431"/>
      <c r="H822" s="431"/>
      <c r="I822" s="436"/>
      <c r="J822" s="437"/>
    </row>
    <row r="823">
      <c r="A823" s="431"/>
      <c r="B823" s="431"/>
      <c r="C823" s="431"/>
      <c r="D823" s="433"/>
      <c r="E823" s="433"/>
      <c r="F823" s="431"/>
      <c r="G823" s="431"/>
      <c r="H823" s="431"/>
      <c r="I823" s="436"/>
      <c r="J823" s="437"/>
    </row>
    <row r="824">
      <c r="A824" s="431"/>
      <c r="B824" s="431"/>
      <c r="C824" s="431"/>
      <c r="D824" s="433"/>
      <c r="E824" s="433"/>
      <c r="F824" s="431"/>
      <c r="G824" s="431"/>
      <c r="H824" s="431"/>
      <c r="I824" s="436"/>
      <c r="J824" s="437"/>
    </row>
    <row r="825">
      <c r="A825" s="431"/>
      <c r="B825" s="431"/>
      <c r="C825" s="431"/>
      <c r="D825" s="433"/>
      <c r="E825" s="433"/>
      <c r="F825" s="431"/>
      <c r="G825" s="431"/>
      <c r="H825" s="431"/>
      <c r="I825" s="436"/>
      <c r="J825" s="437"/>
    </row>
    <row r="826">
      <c r="A826" s="431"/>
      <c r="B826" s="431"/>
      <c r="C826" s="431"/>
      <c r="D826" s="433"/>
      <c r="E826" s="433"/>
      <c r="F826" s="431"/>
      <c r="G826" s="431"/>
      <c r="H826" s="431"/>
      <c r="I826" s="436"/>
      <c r="J826" s="437"/>
    </row>
    <row r="827">
      <c r="A827" s="431"/>
      <c r="B827" s="431"/>
      <c r="C827" s="431"/>
      <c r="D827" s="433"/>
      <c r="E827" s="433"/>
      <c r="F827" s="431"/>
      <c r="G827" s="431"/>
      <c r="H827" s="431"/>
      <c r="I827" s="436"/>
      <c r="J827" s="437"/>
    </row>
    <row r="828">
      <c r="A828" s="431"/>
      <c r="B828" s="431"/>
      <c r="C828" s="431"/>
      <c r="D828" s="433"/>
      <c r="E828" s="433"/>
      <c r="F828" s="431"/>
      <c r="G828" s="431"/>
      <c r="H828" s="431"/>
      <c r="I828" s="436"/>
      <c r="J828" s="437"/>
    </row>
    <row r="829">
      <c r="A829" s="431"/>
      <c r="B829" s="431"/>
      <c r="C829" s="431"/>
      <c r="D829" s="433"/>
      <c r="E829" s="433"/>
      <c r="F829" s="431"/>
      <c r="G829" s="431"/>
      <c r="H829" s="431"/>
      <c r="I829" s="436"/>
      <c r="J829" s="437"/>
    </row>
    <row r="830">
      <c r="A830" s="431"/>
      <c r="B830" s="431"/>
      <c r="C830" s="431"/>
      <c r="D830" s="433"/>
      <c r="E830" s="433"/>
      <c r="F830" s="431"/>
      <c r="G830" s="431"/>
      <c r="H830" s="431"/>
      <c r="I830" s="436"/>
      <c r="J830" s="437"/>
    </row>
    <row r="831">
      <c r="A831" s="431"/>
      <c r="B831" s="431"/>
      <c r="C831" s="431"/>
      <c r="D831" s="433"/>
      <c r="E831" s="433"/>
      <c r="F831" s="431"/>
      <c r="G831" s="431"/>
      <c r="H831" s="431"/>
      <c r="I831" s="436"/>
      <c r="J831" s="437"/>
    </row>
    <row r="832">
      <c r="A832" s="431"/>
      <c r="B832" s="431"/>
      <c r="C832" s="431"/>
      <c r="D832" s="433"/>
      <c r="E832" s="433"/>
      <c r="F832" s="431"/>
      <c r="G832" s="431"/>
      <c r="H832" s="431"/>
      <c r="I832" s="436"/>
      <c r="J832" s="437"/>
    </row>
    <row r="833">
      <c r="A833" s="431"/>
      <c r="B833" s="431"/>
      <c r="C833" s="431"/>
      <c r="D833" s="433"/>
      <c r="E833" s="433"/>
      <c r="F833" s="431"/>
      <c r="G833" s="431"/>
      <c r="H833" s="431"/>
      <c r="I833" s="436"/>
      <c r="J833" s="437"/>
    </row>
    <row r="834">
      <c r="A834" s="431"/>
      <c r="B834" s="431"/>
      <c r="C834" s="431"/>
      <c r="D834" s="433"/>
      <c r="E834" s="433"/>
      <c r="F834" s="431"/>
      <c r="G834" s="431"/>
      <c r="H834" s="431"/>
      <c r="I834" s="436"/>
      <c r="J834" s="437"/>
    </row>
    <row r="835">
      <c r="A835" s="431"/>
      <c r="B835" s="431"/>
      <c r="C835" s="431"/>
      <c r="D835" s="433"/>
      <c r="E835" s="433"/>
      <c r="F835" s="431"/>
      <c r="G835" s="431"/>
      <c r="H835" s="431"/>
      <c r="I835" s="436"/>
      <c r="J835" s="437"/>
    </row>
    <row r="836">
      <c r="A836" s="431"/>
      <c r="B836" s="431"/>
      <c r="C836" s="431"/>
      <c r="D836" s="433"/>
      <c r="E836" s="433"/>
      <c r="F836" s="431"/>
      <c r="G836" s="431"/>
      <c r="H836" s="431"/>
      <c r="I836" s="436"/>
      <c r="J836" s="437"/>
    </row>
    <row r="837">
      <c r="A837" s="431"/>
      <c r="B837" s="431"/>
      <c r="C837" s="431"/>
      <c r="D837" s="433"/>
      <c r="E837" s="433"/>
      <c r="F837" s="431"/>
      <c r="G837" s="431"/>
      <c r="H837" s="431"/>
      <c r="I837" s="436"/>
      <c r="J837" s="437"/>
    </row>
    <row r="838">
      <c r="A838" s="431"/>
      <c r="B838" s="431"/>
      <c r="C838" s="431"/>
      <c r="D838" s="433"/>
      <c r="E838" s="433"/>
      <c r="F838" s="431"/>
      <c r="G838" s="431"/>
      <c r="H838" s="431"/>
      <c r="I838" s="436"/>
      <c r="J838" s="437"/>
    </row>
    <row r="839">
      <c r="A839" s="431"/>
      <c r="B839" s="431"/>
      <c r="C839" s="431"/>
      <c r="D839" s="433"/>
      <c r="E839" s="433"/>
      <c r="F839" s="431"/>
      <c r="G839" s="431"/>
      <c r="H839" s="431"/>
      <c r="I839" s="436"/>
      <c r="J839" s="437"/>
    </row>
    <row r="840">
      <c r="A840" s="431"/>
      <c r="B840" s="431"/>
      <c r="C840" s="431"/>
      <c r="D840" s="433"/>
      <c r="E840" s="433"/>
      <c r="F840" s="431"/>
      <c r="G840" s="431"/>
      <c r="H840" s="431"/>
      <c r="I840" s="436"/>
      <c r="J840" s="437"/>
    </row>
    <row r="841">
      <c r="A841" s="431"/>
      <c r="B841" s="431"/>
      <c r="C841" s="431"/>
      <c r="D841" s="433"/>
      <c r="E841" s="433"/>
      <c r="F841" s="431"/>
      <c r="G841" s="431"/>
      <c r="H841" s="431"/>
      <c r="I841" s="436"/>
      <c r="J841" s="437"/>
    </row>
    <row r="842">
      <c r="A842" s="431"/>
      <c r="B842" s="431"/>
      <c r="C842" s="431"/>
      <c r="D842" s="433"/>
      <c r="E842" s="433"/>
      <c r="F842" s="431"/>
      <c r="G842" s="431"/>
      <c r="H842" s="431"/>
      <c r="I842" s="436"/>
      <c r="J842" s="437"/>
    </row>
    <row r="843">
      <c r="A843" s="431"/>
      <c r="B843" s="431"/>
      <c r="C843" s="431"/>
      <c r="D843" s="433"/>
      <c r="E843" s="433"/>
      <c r="F843" s="431"/>
      <c r="G843" s="431"/>
      <c r="H843" s="431"/>
      <c r="I843" s="436"/>
      <c r="J843" s="437"/>
    </row>
    <row r="844">
      <c r="A844" s="431"/>
      <c r="B844" s="431"/>
      <c r="C844" s="431"/>
      <c r="D844" s="433"/>
      <c r="E844" s="433"/>
      <c r="F844" s="431"/>
      <c r="G844" s="431"/>
      <c r="H844" s="431"/>
      <c r="I844" s="436"/>
      <c r="J844" s="437"/>
    </row>
    <row r="845">
      <c r="A845" s="431"/>
      <c r="B845" s="431"/>
      <c r="C845" s="431"/>
      <c r="D845" s="433"/>
      <c r="E845" s="433"/>
      <c r="F845" s="431"/>
      <c r="G845" s="431"/>
      <c r="H845" s="431"/>
      <c r="I845" s="436"/>
      <c r="J845" s="437"/>
    </row>
    <row r="846">
      <c r="A846" s="431"/>
      <c r="B846" s="431"/>
      <c r="C846" s="431"/>
      <c r="D846" s="433"/>
      <c r="E846" s="433"/>
      <c r="F846" s="431"/>
      <c r="G846" s="431"/>
      <c r="H846" s="431"/>
      <c r="I846" s="436"/>
      <c r="J846" s="437"/>
    </row>
    <row r="847">
      <c r="A847" s="431"/>
      <c r="B847" s="431"/>
      <c r="C847" s="431"/>
      <c r="D847" s="433"/>
      <c r="E847" s="433"/>
      <c r="F847" s="431"/>
      <c r="G847" s="431"/>
      <c r="H847" s="431"/>
      <c r="I847" s="436"/>
      <c r="J847" s="437"/>
    </row>
    <row r="848">
      <c r="A848" s="431"/>
      <c r="B848" s="431"/>
      <c r="C848" s="431"/>
      <c r="D848" s="433"/>
      <c r="E848" s="433"/>
      <c r="F848" s="431"/>
      <c r="G848" s="431"/>
      <c r="H848" s="431"/>
      <c r="I848" s="436"/>
      <c r="J848" s="437"/>
    </row>
    <row r="849">
      <c r="A849" s="431"/>
      <c r="B849" s="431"/>
      <c r="C849" s="431"/>
      <c r="D849" s="433"/>
      <c r="E849" s="433"/>
      <c r="F849" s="431"/>
      <c r="G849" s="431"/>
      <c r="H849" s="431"/>
      <c r="I849" s="436"/>
      <c r="J849" s="437"/>
    </row>
    <row r="850">
      <c r="A850" s="431"/>
      <c r="B850" s="431"/>
      <c r="C850" s="431"/>
      <c r="D850" s="433"/>
      <c r="E850" s="433"/>
      <c r="F850" s="431"/>
      <c r="G850" s="431"/>
      <c r="H850" s="431"/>
      <c r="I850" s="436"/>
      <c r="J850" s="437"/>
    </row>
    <row r="851">
      <c r="A851" s="431"/>
      <c r="B851" s="431"/>
      <c r="C851" s="431"/>
      <c r="D851" s="433"/>
      <c r="E851" s="433"/>
      <c r="F851" s="431"/>
      <c r="G851" s="431"/>
      <c r="H851" s="431"/>
      <c r="I851" s="436"/>
      <c r="J851" s="437"/>
    </row>
    <row r="852">
      <c r="A852" s="431"/>
      <c r="B852" s="431"/>
      <c r="C852" s="431"/>
      <c r="D852" s="433"/>
      <c r="E852" s="433"/>
      <c r="F852" s="431"/>
      <c r="G852" s="431"/>
      <c r="H852" s="431"/>
      <c r="I852" s="436"/>
      <c r="J852" s="437"/>
    </row>
    <row r="853">
      <c r="A853" s="431"/>
      <c r="B853" s="431"/>
      <c r="C853" s="431"/>
      <c r="D853" s="433"/>
      <c r="E853" s="433"/>
      <c r="F853" s="431"/>
      <c r="G853" s="431"/>
      <c r="H853" s="431"/>
      <c r="I853" s="436"/>
      <c r="J853" s="437"/>
    </row>
    <row r="854">
      <c r="A854" s="431"/>
      <c r="B854" s="431"/>
      <c r="C854" s="431"/>
      <c r="D854" s="433"/>
      <c r="E854" s="433"/>
      <c r="F854" s="431"/>
      <c r="G854" s="431"/>
      <c r="H854" s="431"/>
      <c r="I854" s="436"/>
      <c r="J854" s="437"/>
    </row>
    <row r="855">
      <c r="A855" s="431"/>
      <c r="B855" s="431"/>
      <c r="C855" s="431"/>
      <c r="D855" s="433"/>
      <c r="E855" s="433"/>
      <c r="F855" s="431"/>
      <c r="G855" s="431"/>
      <c r="H855" s="431"/>
      <c r="I855" s="436"/>
      <c r="J855" s="437"/>
    </row>
    <row r="856">
      <c r="A856" s="431"/>
      <c r="B856" s="431"/>
      <c r="C856" s="431"/>
      <c r="D856" s="433"/>
      <c r="E856" s="433"/>
      <c r="F856" s="431"/>
      <c r="G856" s="431"/>
      <c r="H856" s="431"/>
      <c r="I856" s="436"/>
      <c r="J856" s="437"/>
    </row>
    <row r="857">
      <c r="A857" s="431"/>
      <c r="B857" s="431"/>
      <c r="C857" s="431"/>
      <c r="D857" s="433"/>
      <c r="E857" s="433"/>
      <c r="F857" s="431"/>
      <c r="G857" s="431"/>
      <c r="H857" s="431"/>
      <c r="I857" s="436"/>
      <c r="J857" s="437"/>
    </row>
    <row r="858">
      <c r="A858" s="431"/>
      <c r="B858" s="431"/>
      <c r="C858" s="431"/>
      <c r="D858" s="433"/>
      <c r="E858" s="433"/>
      <c r="F858" s="431"/>
      <c r="G858" s="431"/>
      <c r="H858" s="431"/>
      <c r="I858" s="436"/>
      <c r="J858" s="437"/>
    </row>
    <row r="859">
      <c r="A859" s="431"/>
      <c r="B859" s="431"/>
      <c r="C859" s="431"/>
      <c r="D859" s="433"/>
      <c r="E859" s="433"/>
      <c r="F859" s="431"/>
      <c r="G859" s="431"/>
      <c r="H859" s="431"/>
      <c r="I859" s="436"/>
      <c r="J859" s="437"/>
    </row>
    <row r="860">
      <c r="A860" s="431"/>
      <c r="B860" s="431"/>
      <c r="C860" s="431"/>
      <c r="D860" s="433"/>
      <c r="E860" s="433"/>
      <c r="F860" s="431"/>
      <c r="G860" s="431"/>
      <c r="H860" s="431"/>
      <c r="I860" s="436"/>
      <c r="J860" s="437"/>
    </row>
    <row r="861">
      <c r="A861" s="431"/>
      <c r="B861" s="431"/>
      <c r="C861" s="431"/>
      <c r="D861" s="433"/>
      <c r="E861" s="433"/>
      <c r="F861" s="431"/>
      <c r="G861" s="431"/>
      <c r="H861" s="431"/>
      <c r="I861" s="436"/>
      <c r="J861" s="437"/>
    </row>
    <row r="862">
      <c r="A862" s="431"/>
      <c r="B862" s="431"/>
      <c r="C862" s="431"/>
      <c r="D862" s="433"/>
      <c r="E862" s="433"/>
      <c r="F862" s="431"/>
      <c r="G862" s="431"/>
      <c r="H862" s="431"/>
      <c r="I862" s="436"/>
      <c r="J862" s="437"/>
    </row>
    <row r="863">
      <c r="A863" s="431"/>
      <c r="B863" s="431"/>
      <c r="C863" s="431"/>
      <c r="D863" s="433"/>
      <c r="E863" s="433"/>
      <c r="F863" s="431"/>
      <c r="G863" s="431"/>
      <c r="H863" s="431"/>
      <c r="I863" s="436"/>
      <c r="J863" s="437"/>
    </row>
    <row r="864">
      <c r="A864" s="431"/>
      <c r="B864" s="431"/>
      <c r="C864" s="431"/>
      <c r="D864" s="433"/>
      <c r="E864" s="433"/>
      <c r="F864" s="431"/>
      <c r="G864" s="431"/>
      <c r="H864" s="431"/>
      <c r="I864" s="436"/>
      <c r="J864" s="437"/>
    </row>
    <row r="865">
      <c r="A865" s="431"/>
      <c r="B865" s="431"/>
      <c r="C865" s="431"/>
      <c r="D865" s="433"/>
      <c r="E865" s="433"/>
      <c r="F865" s="431"/>
      <c r="G865" s="431"/>
      <c r="H865" s="431"/>
      <c r="I865" s="436"/>
      <c r="J865" s="437"/>
    </row>
    <row r="866">
      <c r="A866" s="431"/>
      <c r="B866" s="431"/>
      <c r="C866" s="431"/>
      <c r="D866" s="433"/>
      <c r="E866" s="433"/>
      <c r="F866" s="431"/>
      <c r="G866" s="431"/>
      <c r="H866" s="431"/>
      <c r="I866" s="436"/>
      <c r="J866" s="437"/>
    </row>
    <row r="867">
      <c r="A867" s="431"/>
      <c r="B867" s="431"/>
      <c r="C867" s="431"/>
      <c r="D867" s="433"/>
      <c r="E867" s="433"/>
      <c r="F867" s="431"/>
      <c r="G867" s="431"/>
      <c r="H867" s="431"/>
      <c r="I867" s="436"/>
      <c r="J867" s="437"/>
    </row>
    <row r="868">
      <c r="A868" s="431"/>
      <c r="B868" s="431"/>
      <c r="C868" s="431"/>
      <c r="D868" s="433"/>
      <c r="E868" s="433"/>
      <c r="F868" s="431"/>
      <c r="G868" s="431"/>
      <c r="H868" s="431"/>
      <c r="I868" s="436"/>
      <c r="J868" s="437"/>
    </row>
    <row r="869">
      <c r="A869" s="431"/>
      <c r="B869" s="431"/>
      <c r="C869" s="431"/>
      <c r="D869" s="433"/>
      <c r="E869" s="433"/>
      <c r="F869" s="431"/>
      <c r="G869" s="431"/>
      <c r="H869" s="431"/>
      <c r="I869" s="436"/>
      <c r="J869" s="437"/>
    </row>
    <row r="870">
      <c r="A870" s="431"/>
      <c r="B870" s="431"/>
      <c r="C870" s="431"/>
      <c r="D870" s="433"/>
      <c r="E870" s="433"/>
      <c r="F870" s="431"/>
      <c r="G870" s="431"/>
      <c r="H870" s="431"/>
      <c r="I870" s="436"/>
      <c r="J870" s="437"/>
    </row>
    <row r="871">
      <c r="A871" s="431"/>
      <c r="B871" s="431"/>
      <c r="C871" s="431"/>
      <c r="D871" s="433"/>
      <c r="E871" s="433"/>
      <c r="F871" s="431"/>
      <c r="G871" s="431"/>
      <c r="H871" s="431"/>
      <c r="I871" s="436"/>
      <c r="J871" s="437"/>
    </row>
    <row r="872">
      <c r="A872" s="431"/>
      <c r="B872" s="431"/>
      <c r="C872" s="431"/>
      <c r="D872" s="433"/>
      <c r="E872" s="433"/>
      <c r="F872" s="431"/>
      <c r="G872" s="431"/>
      <c r="H872" s="431"/>
      <c r="I872" s="436"/>
      <c r="J872" s="437"/>
    </row>
    <row r="873">
      <c r="A873" s="431"/>
      <c r="B873" s="431"/>
      <c r="C873" s="431"/>
      <c r="D873" s="433"/>
      <c r="E873" s="433"/>
      <c r="F873" s="431"/>
      <c r="G873" s="431"/>
      <c r="H873" s="431"/>
      <c r="I873" s="436"/>
      <c r="J873" s="437"/>
    </row>
    <row r="874">
      <c r="A874" s="431"/>
      <c r="B874" s="431"/>
      <c r="C874" s="431"/>
      <c r="D874" s="433"/>
      <c r="E874" s="433"/>
      <c r="F874" s="431"/>
      <c r="G874" s="431"/>
      <c r="H874" s="431"/>
      <c r="I874" s="436"/>
      <c r="J874" s="437"/>
    </row>
    <row r="875">
      <c r="A875" s="431"/>
      <c r="B875" s="431"/>
      <c r="C875" s="431"/>
      <c r="D875" s="433"/>
      <c r="E875" s="433"/>
      <c r="F875" s="431"/>
      <c r="G875" s="431"/>
      <c r="H875" s="431"/>
      <c r="I875" s="436"/>
      <c r="J875" s="437"/>
    </row>
    <row r="876">
      <c r="A876" s="431"/>
      <c r="B876" s="431"/>
      <c r="C876" s="431"/>
      <c r="D876" s="433"/>
      <c r="E876" s="433"/>
      <c r="F876" s="431"/>
      <c r="G876" s="431"/>
      <c r="H876" s="431"/>
      <c r="I876" s="436"/>
      <c r="J876" s="437"/>
    </row>
    <row r="877">
      <c r="A877" s="431"/>
      <c r="B877" s="431"/>
      <c r="C877" s="431"/>
      <c r="D877" s="433"/>
      <c r="E877" s="433"/>
      <c r="F877" s="431"/>
      <c r="G877" s="431"/>
      <c r="H877" s="431"/>
      <c r="I877" s="436"/>
      <c r="J877" s="437"/>
    </row>
    <row r="878">
      <c r="A878" s="431"/>
      <c r="B878" s="431"/>
      <c r="C878" s="431"/>
      <c r="D878" s="433"/>
      <c r="E878" s="433"/>
      <c r="F878" s="431"/>
      <c r="G878" s="431"/>
      <c r="H878" s="431"/>
      <c r="I878" s="436"/>
      <c r="J878" s="437"/>
    </row>
    <row r="879">
      <c r="A879" s="431"/>
      <c r="B879" s="431"/>
      <c r="C879" s="431"/>
      <c r="D879" s="433"/>
      <c r="E879" s="433"/>
      <c r="F879" s="431"/>
      <c r="G879" s="431"/>
      <c r="H879" s="431"/>
      <c r="I879" s="436"/>
      <c r="J879" s="437"/>
    </row>
    <row r="880">
      <c r="A880" s="431"/>
      <c r="B880" s="431"/>
      <c r="C880" s="431"/>
      <c r="D880" s="433"/>
      <c r="E880" s="433"/>
      <c r="F880" s="431"/>
      <c r="G880" s="431"/>
      <c r="H880" s="431"/>
      <c r="I880" s="436"/>
      <c r="J880" s="437"/>
    </row>
    <row r="881">
      <c r="A881" s="431"/>
      <c r="B881" s="431"/>
      <c r="C881" s="431"/>
      <c r="D881" s="433"/>
      <c r="E881" s="433"/>
      <c r="F881" s="431"/>
      <c r="G881" s="431"/>
      <c r="H881" s="431"/>
      <c r="I881" s="436"/>
      <c r="J881" s="437"/>
    </row>
    <row r="882">
      <c r="A882" s="431"/>
      <c r="B882" s="431"/>
      <c r="C882" s="431"/>
      <c r="D882" s="433"/>
      <c r="E882" s="433"/>
      <c r="F882" s="431"/>
      <c r="G882" s="431"/>
      <c r="H882" s="431"/>
      <c r="I882" s="436"/>
      <c r="J882" s="437"/>
    </row>
    <row r="883">
      <c r="A883" s="431"/>
      <c r="B883" s="431"/>
      <c r="C883" s="431"/>
      <c r="D883" s="433"/>
      <c r="E883" s="433"/>
      <c r="F883" s="431"/>
      <c r="G883" s="431"/>
      <c r="H883" s="431"/>
      <c r="I883" s="436"/>
      <c r="J883" s="437"/>
    </row>
    <row r="884">
      <c r="A884" s="431"/>
      <c r="B884" s="431"/>
      <c r="C884" s="431"/>
      <c r="D884" s="433"/>
      <c r="E884" s="433"/>
      <c r="F884" s="431"/>
      <c r="G884" s="431"/>
      <c r="H884" s="431"/>
      <c r="I884" s="436"/>
      <c r="J884" s="437"/>
    </row>
    <row r="885">
      <c r="A885" s="431"/>
      <c r="B885" s="431"/>
      <c r="C885" s="431"/>
      <c r="D885" s="433"/>
      <c r="E885" s="433"/>
      <c r="F885" s="431"/>
      <c r="G885" s="431"/>
      <c r="H885" s="431"/>
      <c r="I885" s="436"/>
      <c r="J885" s="437"/>
    </row>
    <row r="886">
      <c r="A886" s="431"/>
      <c r="B886" s="431"/>
      <c r="C886" s="431"/>
      <c r="D886" s="433"/>
      <c r="E886" s="433"/>
      <c r="F886" s="431"/>
      <c r="G886" s="431"/>
      <c r="H886" s="431"/>
      <c r="I886" s="436"/>
      <c r="J886" s="437"/>
    </row>
    <row r="887">
      <c r="A887" s="431"/>
      <c r="B887" s="431"/>
      <c r="C887" s="431"/>
      <c r="D887" s="433"/>
      <c r="E887" s="433"/>
      <c r="F887" s="431"/>
      <c r="G887" s="431"/>
      <c r="H887" s="431"/>
      <c r="I887" s="436"/>
      <c r="J887" s="437"/>
    </row>
    <row r="888">
      <c r="A888" s="431"/>
      <c r="B888" s="431"/>
      <c r="C888" s="431"/>
      <c r="D888" s="433"/>
      <c r="E888" s="433"/>
      <c r="F888" s="431"/>
      <c r="G888" s="431"/>
      <c r="H888" s="431"/>
      <c r="I888" s="436"/>
      <c r="J888" s="437"/>
    </row>
    <row r="889">
      <c r="A889" s="431"/>
      <c r="B889" s="431"/>
      <c r="C889" s="431"/>
      <c r="D889" s="433"/>
      <c r="E889" s="433"/>
      <c r="F889" s="431"/>
      <c r="G889" s="431"/>
      <c r="H889" s="431"/>
      <c r="I889" s="436"/>
      <c r="J889" s="437"/>
    </row>
    <row r="890">
      <c r="A890" s="431"/>
      <c r="B890" s="431"/>
      <c r="C890" s="431"/>
      <c r="D890" s="433"/>
      <c r="E890" s="433"/>
      <c r="F890" s="431"/>
      <c r="G890" s="431"/>
      <c r="H890" s="431"/>
      <c r="I890" s="436"/>
      <c r="J890" s="437"/>
    </row>
    <row r="891">
      <c r="A891" s="431"/>
      <c r="B891" s="431"/>
      <c r="C891" s="431"/>
      <c r="D891" s="433"/>
      <c r="E891" s="433"/>
      <c r="F891" s="431"/>
      <c r="G891" s="431"/>
      <c r="H891" s="431"/>
      <c r="I891" s="436"/>
      <c r="J891" s="437"/>
    </row>
    <row r="892">
      <c r="A892" s="431"/>
      <c r="B892" s="431"/>
      <c r="C892" s="431"/>
      <c r="D892" s="433"/>
      <c r="E892" s="433"/>
      <c r="F892" s="431"/>
      <c r="G892" s="431"/>
      <c r="H892" s="431"/>
      <c r="I892" s="436"/>
      <c r="J892" s="437"/>
    </row>
    <row r="893">
      <c r="A893" s="431"/>
      <c r="B893" s="431"/>
      <c r="C893" s="431"/>
      <c r="D893" s="433"/>
      <c r="E893" s="433"/>
      <c r="F893" s="431"/>
      <c r="G893" s="431"/>
      <c r="H893" s="431"/>
      <c r="I893" s="436"/>
      <c r="J893" s="437"/>
    </row>
    <row r="894">
      <c r="A894" s="431"/>
      <c r="B894" s="431"/>
      <c r="C894" s="431"/>
      <c r="D894" s="433"/>
      <c r="E894" s="433"/>
      <c r="F894" s="431"/>
      <c r="G894" s="431"/>
      <c r="H894" s="431"/>
      <c r="I894" s="436"/>
      <c r="J894" s="437"/>
    </row>
    <row r="895">
      <c r="A895" s="431"/>
      <c r="B895" s="431"/>
      <c r="C895" s="431"/>
      <c r="D895" s="433"/>
      <c r="E895" s="433"/>
      <c r="F895" s="431"/>
      <c r="G895" s="431"/>
      <c r="H895" s="431"/>
      <c r="I895" s="436"/>
      <c r="J895" s="437"/>
    </row>
    <row r="896">
      <c r="A896" s="431"/>
      <c r="B896" s="431"/>
      <c r="C896" s="431"/>
      <c r="D896" s="433"/>
      <c r="E896" s="433"/>
      <c r="F896" s="431"/>
      <c r="G896" s="431"/>
      <c r="H896" s="431"/>
      <c r="I896" s="436"/>
      <c r="J896" s="437"/>
    </row>
    <row r="897">
      <c r="A897" s="431"/>
      <c r="B897" s="431"/>
      <c r="C897" s="431"/>
      <c r="D897" s="433"/>
      <c r="E897" s="433"/>
      <c r="F897" s="431"/>
      <c r="G897" s="431"/>
      <c r="H897" s="431"/>
      <c r="I897" s="436"/>
      <c r="J897" s="437"/>
    </row>
    <row r="898">
      <c r="A898" s="431"/>
      <c r="B898" s="431"/>
      <c r="C898" s="431"/>
      <c r="D898" s="433"/>
      <c r="E898" s="433"/>
      <c r="F898" s="431"/>
      <c r="G898" s="431"/>
      <c r="H898" s="431"/>
      <c r="I898" s="436"/>
      <c r="J898" s="437"/>
    </row>
    <row r="899">
      <c r="A899" s="431"/>
      <c r="B899" s="431"/>
      <c r="C899" s="431"/>
      <c r="D899" s="433"/>
      <c r="E899" s="433"/>
      <c r="F899" s="431"/>
      <c r="G899" s="431"/>
      <c r="H899" s="431"/>
      <c r="I899" s="436"/>
      <c r="J899" s="437"/>
    </row>
    <row r="900">
      <c r="A900" s="431"/>
      <c r="B900" s="431"/>
      <c r="C900" s="431"/>
      <c r="D900" s="433"/>
      <c r="E900" s="433"/>
      <c r="F900" s="431"/>
      <c r="G900" s="431"/>
      <c r="H900" s="431"/>
      <c r="I900" s="436"/>
      <c r="J900" s="437"/>
    </row>
    <row r="901">
      <c r="A901" s="431"/>
      <c r="B901" s="431"/>
      <c r="C901" s="431"/>
      <c r="D901" s="433"/>
      <c r="E901" s="433"/>
      <c r="F901" s="431"/>
      <c r="G901" s="431"/>
      <c r="H901" s="431"/>
      <c r="I901" s="436"/>
      <c r="J901" s="437"/>
    </row>
    <row r="902">
      <c r="A902" s="431"/>
      <c r="B902" s="431"/>
      <c r="C902" s="431"/>
      <c r="D902" s="433"/>
      <c r="E902" s="433"/>
      <c r="F902" s="431"/>
      <c r="G902" s="431"/>
      <c r="H902" s="431"/>
      <c r="I902" s="436"/>
      <c r="J902" s="437"/>
    </row>
    <row r="903">
      <c r="A903" s="431"/>
      <c r="B903" s="431"/>
      <c r="C903" s="431"/>
      <c r="D903" s="433"/>
      <c r="E903" s="433"/>
      <c r="F903" s="431"/>
      <c r="G903" s="431"/>
      <c r="H903" s="431"/>
      <c r="I903" s="436"/>
      <c r="J903" s="437"/>
    </row>
    <row r="904">
      <c r="A904" s="431"/>
      <c r="B904" s="431"/>
      <c r="C904" s="431"/>
      <c r="D904" s="433"/>
      <c r="E904" s="433"/>
      <c r="F904" s="431"/>
      <c r="G904" s="431"/>
      <c r="H904" s="431"/>
      <c r="I904" s="436"/>
      <c r="J904" s="437"/>
    </row>
    <row r="905">
      <c r="A905" s="431"/>
      <c r="B905" s="431"/>
      <c r="C905" s="431"/>
      <c r="D905" s="433"/>
      <c r="E905" s="433"/>
      <c r="F905" s="431"/>
      <c r="G905" s="431"/>
      <c r="H905" s="431"/>
      <c r="I905" s="436"/>
      <c r="J905" s="437"/>
    </row>
    <row r="906">
      <c r="A906" s="431"/>
      <c r="B906" s="431"/>
      <c r="C906" s="431"/>
      <c r="D906" s="433"/>
      <c r="E906" s="433"/>
      <c r="F906" s="431"/>
      <c r="G906" s="431"/>
      <c r="H906" s="431"/>
      <c r="I906" s="436"/>
      <c r="J906" s="437"/>
    </row>
    <row r="907">
      <c r="A907" s="431"/>
      <c r="B907" s="431"/>
      <c r="C907" s="431"/>
      <c r="D907" s="433"/>
      <c r="E907" s="433"/>
      <c r="F907" s="431"/>
      <c r="G907" s="431"/>
      <c r="H907" s="431"/>
      <c r="I907" s="436"/>
      <c r="J907" s="437"/>
    </row>
    <row r="908">
      <c r="A908" s="431"/>
      <c r="B908" s="431"/>
      <c r="C908" s="431"/>
      <c r="D908" s="433"/>
      <c r="E908" s="433"/>
      <c r="F908" s="431"/>
      <c r="G908" s="431"/>
      <c r="H908" s="431"/>
      <c r="I908" s="436"/>
      <c r="J908" s="437"/>
    </row>
    <row r="909">
      <c r="A909" s="431"/>
      <c r="B909" s="431"/>
      <c r="C909" s="431"/>
      <c r="D909" s="433"/>
      <c r="E909" s="433"/>
      <c r="F909" s="431"/>
      <c r="G909" s="431"/>
      <c r="H909" s="431"/>
      <c r="I909" s="436"/>
      <c r="J909" s="437"/>
    </row>
    <row r="910">
      <c r="A910" s="431"/>
      <c r="B910" s="431"/>
      <c r="C910" s="431"/>
      <c r="D910" s="433"/>
      <c r="E910" s="433"/>
      <c r="F910" s="431"/>
      <c r="G910" s="431"/>
      <c r="H910" s="431"/>
      <c r="I910" s="436"/>
      <c r="J910" s="437"/>
    </row>
    <row r="911">
      <c r="A911" s="431"/>
      <c r="B911" s="431"/>
      <c r="C911" s="431"/>
      <c r="D911" s="433"/>
      <c r="E911" s="433"/>
      <c r="F911" s="431"/>
      <c r="G911" s="431"/>
      <c r="H911" s="431"/>
      <c r="I911" s="436"/>
      <c r="J911" s="437"/>
    </row>
    <row r="912">
      <c r="A912" s="431"/>
      <c r="B912" s="431"/>
      <c r="C912" s="431"/>
      <c r="D912" s="433"/>
      <c r="E912" s="433"/>
      <c r="F912" s="431"/>
      <c r="G912" s="431"/>
      <c r="H912" s="431"/>
      <c r="I912" s="436"/>
      <c r="J912" s="437"/>
    </row>
    <row r="913">
      <c r="A913" s="431"/>
      <c r="B913" s="431"/>
      <c r="C913" s="431"/>
      <c r="D913" s="433"/>
      <c r="E913" s="433"/>
      <c r="F913" s="431"/>
      <c r="G913" s="431"/>
      <c r="H913" s="431"/>
      <c r="I913" s="436"/>
      <c r="J913" s="437"/>
    </row>
    <row r="914">
      <c r="A914" s="431"/>
      <c r="B914" s="431"/>
      <c r="C914" s="431"/>
      <c r="D914" s="433"/>
      <c r="E914" s="433"/>
      <c r="F914" s="431"/>
      <c r="G914" s="431"/>
      <c r="H914" s="431"/>
      <c r="I914" s="436"/>
      <c r="J914" s="437"/>
    </row>
    <row r="915">
      <c r="A915" s="431"/>
      <c r="B915" s="431"/>
      <c r="C915" s="431"/>
      <c r="D915" s="433"/>
      <c r="E915" s="433"/>
      <c r="F915" s="431"/>
      <c r="G915" s="431"/>
      <c r="H915" s="431"/>
      <c r="I915" s="436"/>
      <c r="J915" s="437"/>
    </row>
    <row r="916">
      <c r="A916" s="431"/>
      <c r="B916" s="431"/>
      <c r="C916" s="431"/>
      <c r="D916" s="433"/>
      <c r="E916" s="433"/>
      <c r="F916" s="431"/>
      <c r="G916" s="431"/>
      <c r="H916" s="431"/>
      <c r="I916" s="436"/>
      <c r="J916" s="437"/>
    </row>
    <row r="917">
      <c r="A917" s="431"/>
      <c r="B917" s="431"/>
      <c r="C917" s="431"/>
      <c r="D917" s="433"/>
      <c r="E917" s="433"/>
      <c r="F917" s="431"/>
      <c r="G917" s="431"/>
      <c r="H917" s="431"/>
      <c r="I917" s="436"/>
      <c r="J917" s="437"/>
    </row>
    <row r="918">
      <c r="A918" s="431"/>
      <c r="B918" s="431"/>
      <c r="C918" s="431"/>
      <c r="D918" s="433"/>
      <c r="E918" s="433"/>
      <c r="F918" s="431"/>
      <c r="G918" s="431"/>
      <c r="H918" s="431"/>
      <c r="I918" s="436"/>
      <c r="J918" s="437"/>
    </row>
    <row r="919">
      <c r="A919" s="431"/>
      <c r="B919" s="431"/>
      <c r="C919" s="431"/>
      <c r="D919" s="433"/>
      <c r="E919" s="433"/>
      <c r="F919" s="431"/>
      <c r="G919" s="431"/>
      <c r="H919" s="431"/>
      <c r="I919" s="436"/>
      <c r="J919" s="437"/>
    </row>
    <row r="920">
      <c r="A920" s="431"/>
      <c r="B920" s="431"/>
      <c r="C920" s="431"/>
      <c r="D920" s="433"/>
      <c r="E920" s="433"/>
      <c r="F920" s="431"/>
      <c r="G920" s="431"/>
      <c r="H920" s="431"/>
      <c r="I920" s="436"/>
      <c r="J920" s="437"/>
    </row>
    <row r="921">
      <c r="A921" s="431"/>
      <c r="B921" s="431"/>
      <c r="C921" s="431"/>
      <c r="D921" s="433"/>
      <c r="E921" s="433"/>
      <c r="F921" s="431"/>
      <c r="G921" s="431"/>
      <c r="H921" s="431"/>
      <c r="I921" s="436"/>
      <c r="J921" s="437"/>
    </row>
    <row r="922">
      <c r="A922" s="431"/>
      <c r="B922" s="431"/>
      <c r="C922" s="431"/>
      <c r="D922" s="433"/>
      <c r="E922" s="433"/>
      <c r="F922" s="431"/>
      <c r="G922" s="431"/>
      <c r="H922" s="431"/>
      <c r="I922" s="436"/>
      <c r="J922" s="437"/>
    </row>
    <row r="923">
      <c r="A923" s="431"/>
      <c r="B923" s="431"/>
      <c r="C923" s="431"/>
      <c r="D923" s="433"/>
      <c r="E923" s="433"/>
      <c r="F923" s="431"/>
      <c r="G923" s="431"/>
      <c r="H923" s="431"/>
      <c r="I923" s="436"/>
      <c r="J923" s="437"/>
    </row>
    <row r="924">
      <c r="A924" s="431"/>
      <c r="B924" s="431"/>
      <c r="C924" s="431"/>
      <c r="D924" s="433"/>
      <c r="E924" s="433"/>
      <c r="F924" s="431"/>
      <c r="G924" s="431"/>
      <c r="H924" s="431"/>
      <c r="I924" s="436"/>
      <c r="J924" s="437"/>
    </row>
    <row r="925">
      <c r="A925" s="431"/>
      <c r="B925" s="431"/>
      <c r="C925" s="431"/>
      <c r="D925" s="433"/>
      <c r="E925" s="433"/>
      <c r="F925" s="431"/>
      <c r="G925" s="431"/>
      <c r="H925" s="431"/>
      <c r="I925" s="436"/>
      <c r="J925" s="437"/>
    </row>
    <row r="926">
      <c r="A926" s="431"/>
      <c r="B926" s="431"/>
      <c r="C926" s="431"/>
      <c r="D926" s="433"/>
      <c r="E926" s="433"/>
      <c r="F926" s="431"/>
      <c r="G926" s="431"/>
      <c r="H926" s="431"/>
      <c r="I926" s="436"/>
      <c r="J926" s="437"/>
    </row>
    <row r="927">
      <c r="A927" s="431"/>
      <c r="B927" s="431"/>
      <c r="C927" s="431"/>
      <c r="D927" s="433"/>
      <c r="E927" s="433"/>
      <c r="F927" s="431"/>
      <c r="G927" s="431"/>
      <c r="H927" s="431"/>
      <c r="I927" s="436"/>
      <c r="J927" s="437"/>
    </row>
    <row r="928">
      <c r="A928" s="431"/>
      <c r="B928" s="431"/>
      <c r="C928" s="431"/>
      <c r="D928" s="433"/>
      <c r="E928" s="433"/>
      <c r="F928" s="431"/>
      <c r="G928" s="431"/>
      <c r="H928" s="431"/>
      <c r="I928" s="436"/>
      <c r="J928" s="437"/>
    </row>
    <row r="929">
      <c r="A929" s="431"/>
      <c r="B929" s="431"/>
      <c r="C929" s="431"/>
      <c r="D929" s="433"/>
      <c r="E929" s="433"/>
      <c r="F929" s="431"/>
      <c r="G929" s="431"/>
      <c r="H929" s="431"/>
      <c r="I929" s="436"/>
      <c r="J929" s="437"/>
    </row>
    <row r="930">
      <c r="A930" s="431"/>
      <c r="B930" s="431"/>
      <c r="C930" s="431"/>
      <c r="D930" s="433"/>
      <c r="E930" s="433"/>
      <c r="F930" s="431"/>
      <c r="G930" s="431"/>
      <c r="H930" s="431"/>
      <c r="I930" s="436"/>
      <c r="J930" s="437"/>
    </row>
    <row r="931">
      <c r="A931" s="431"/>
      <c r="B931" s="431"/>
      <c r="C931" s="431"/>
      <c r="D931" s="433"/>
      <c r="E931" s="433"/>
      <c r="F931" s="431"/>
      <c r="G931" s="431"/>
      <c r="H931" s="431"/>
      <c r="I931" s="436"/>
      <c r="J931" s="437"/>
    </row>
    <row r="932">
      <c r="A932" s="431"/>
      <c r="B932" s="431"/>
      <c r="C932" s="431"/>
      <c r="D932" s="433"/>
      <c r="E932" s="433"/>
      <c r="F932" s="431"/>
      <c r="G932" s="431"/>
      <c r="H932" s="431"/>
      <c r="I932" s="436"/>
      <c r="J932" s="437"/>
    </row>
    <row r="933">
      <c r="A933" s="431"/>
      <c r="B933" s="431"/>
      <c r="C933" s="431"/>
      <c r="D933" s="433"/>
      <c r="E933" s="433"/>
      <c r="F933" s="431"/>
      <c r="G933" s="431"/>
      <c r="H933" s="431"/>
      <c r="I933" s="436"/>
      <c r="J933" s="437"/>
    </row>
    <row r="934">
      <c r="A934" s="431"/>
      <c r="B934" s="431"/>
      <c r="C934" s="431"/>
      <c r="D934" s="433"/>
      <c r="E934" s="433"/>
      <c r="F934" s="431"/>
      <c r="G934" s="431"/>
      <c r="H934" s="431"/>
      <c r="I934" s="436"/>
      <c r="J934" s="437"/>
    </row>
    <row r="935">
      <c r="A935" s="431"/>
      <c r="B935" s="431"/>
      <c r="C935" s="431"/>
      <c r="D935" s="433"/>
      <c r="E935" s="433"/>
      <c r="F935" s="431"/>
      <c r="G935" s="431"/>
      <c r="H935" s="431"/>
      <c r="I935" s="436"/>
      <c r="J935" s="437"/>
    </row>
    <row r="936">
      <c r="A936" s="431"/>
      <c r="B936" s="431"/>
      <c r="C936" s="431"/>
      <c r="D936" s="433"/>
      <c r="E936" s="433"/>
      <c r="F936" s="431"/>
      <c r="G936" s="431"/>
      <c r="H936" s="431"/>
      <c r="I936" s="436"/>
      <c r="J936" s="437"/>
    </row>
    <row r="937">
      <c r="A937" s="431"/>
      <c r="B937" s="431"/>
      <c r="C937" s="431"/>
      <c r="D937" s="433"/>
      <c r="E937" s="433"/>
      <c r="F937" s="431"/>
      <c r="G937" s="431"/>
      <c r="H937" s="431"/>
      <c r="I937" s="436"/>
      <c r="J937" s="437"/>
    </row>
    <row r="938">
      <c r="A938" s="431"/>
      <c r="B938" s="431"/>
      <c r="C938" s="431"/>
      <c r="D938" s="433"/>
      <c r="E938" s="433"/>
      <c r="F938" s="431"/>
      <c r="G938" s="431"/>
      <c r="H938" s="431"/>
      <c r="I938" s="436"/>
      <c r="J938" s="437"/>
    </row>
    <row r="939">
      <c r="A939" s="431"/>
      <c r="B939" s="431"/>
      <c r="C939" s="431"/>
      <c r="D939" s="433"/>
      <c r="E939" s="433"/>
      <c r="F939" s="431"/>
      <c r="G939" s="431"/>
      <c r="H939" s="431"/>
      <c r="I939" s="436"/>
      <c r="J939" s="437"/>
    </row>
    <row r="940">
      <c r="A940" s="431"/>
      <c r="B940" s="431"/>
      <c r="C940" s="431"/>
      <c r="D940" s="433"/>
      <c r="E940" s="433"/>
      <c r="F940" s="431"/>
      <c r="G940" s="431"/>
      <c r="H940" s="431"/>
      <c r="I940" s="436"/>
      <c r="J940" s="437"/>
    </row>
    <row r="941">
      <c r="A941" s="431"/>
      <c r="B941" s="431"/>
      <c r="C941" s="431"/>
      <c r="D941" s="433"/>
      <c r="E941" s="433"/>
      <c r="F941" s="431"/>
      <c r="G941" s="431"/>
      <c r="H941" s="431"/>
      <c r="I941" s="436"/>
      <c r="J941" s="437"/>
    </row>
    <row r="942">
      <c r="A942" s="431"/>
      <c r="B942" s="431"/>
      <c r="C942" s="431"/>
      <c r="D942" s="433"/>
      <c r="E942" s="433"/>
      <c r="F942" s="431"/>
      <c r="G942" s="431"/>
      <c r="H942" s="431"/>
      <c r="I942" s="436"/>
      <c r="J942" s="437"/>
    </row>
    <row r="943">
      <c r="A943" s="431"/>
      <c r="B943" s="431"/>
      <c r="C943" s="431"/>
      <c r="D943" s="433"/>
      <c r="E943" s="433"/>
      <c r="F943" s="431"/>
      <c r="G943" s="431"/>
      <c r="H943" s="431"/>
      <c r="I943" s="436"/>
      <c r="J943" s="437"/>
    </row>
    <row r="944">
      <c r="A944" s="431"/>
      <c r="B944" s="431"/>
      <c r="C944" s="431"/>
      <c r="D944" s="433"/>
      <c r="E944" s="433"/>
      <c r="F944" s="431"/>
      <c r="G944" s="431"/>
      <c r="H944" s="431"/>
      <c r="I944" s="436"/>
      <c r="J944" s="437"/>
    </row>
    <row r="945">
      <c r="A945" s="431"/>
      <c r="B945" s="431"/>
      <c r="C945" s="431"/>
      <c r="D945" s="433"/>
      <c r="E945" s="433"/>
      <c r="F945" s="431"/>
      <c r="G945" s="431"/>
      <c r="H945" s="431"/>
      <c r="I945" s="436"/>
      <c r="J945" s="437"/>
    </row>
    <row r="946">
      <c r="A946" s="431"/>
      <c r="B946" s="431"/>
      <c r="C946" s="431"/>
      <c r="D946" s="433"/>
      <c r="E946" s="433"/>
      <c r="F946" s="431"/>
      <c r="G946" s="431"/>
      <c r="H946" s="431"/>
      <c r="I946" s="436"/>
      <c r="J946" s="437"/>
    </row>
    <row r="947">
      <c r="A947" s="431"/>
      <c r="B947" s="431"/>
      <c r="C947" s="431"/>
      <c r="D947" s="433"/>
      <c r="E947" s="433"/>
      <c r="F947" s="431"/>
      <c r="G947" s="431"/>
      <c r="H947" s="431"/>
      <c r="I947" s="436"/>
      <c r="J947" s="437"/>
    </row>
    <row r="948">
      <c r="A948" s="431"/>
      <c r="B948" s="431"/>
      <c r="C948" s="431"/>
      <c r="D948" s="433"/>
      <c r="E948" s="433"/>
      <c r="F948" s="431"/>
      <c r="G948" s="431"/>
      <c r="H948" s="431"/>
      <c r="I948" s="436"/>
      <c r="J948" s="437"/>
    </row>
    <row r="949">
      <c r="A949" s="431"/>
      <c r="B949" s="431"/>
      <c r="C949" s="431"/>
      <c r="D949" s="433"/>
      <c r="E949" s="433"/>
      <c r="F949" s="431"/>
      <c r="G949" s="431"/>
      <c r="H949" s="431"/>
      <c r="I949" s="436"/>
      <c r="J949" s="437"/>
    </row>
    <row r="950">
      <c r="A950" s="431"/>
      <c r="B950" s="431"/>
      <c r="C950" s="431"/>
      <c r="D950" s="433"/>
      <c r="E950" s="433"/>
      <c r="F950" s="431"/>
      <c r="G950" s="431"/>
      <c r="H950" s="431"/>
      <c r="I950" s="436"/>
      <c r="J950" s="437"/>
    </row>
    <row r="951">
      <c r="A951" s="431"/>
      <c r="B951" s="431"/>
      <c r="C951" s="431"/>
      <c r="D951" s="433"/>
      <c r="E951" s="433"/>
      <c r="F951" s="431"/>
      <c r="G951" s="431"/>
      <c r="H951" s="431"/>
      <c r="I951" s="436"/>
      <c r="J951" s="437"/>
    </row>
    <row r="952">
      <c r="A952" s="431"/>
      <c r="B952" s="431"/>
      <c r="C952" s="431"/>
      <c r="D952" s="433"/>
      <c r="E952" s="433"/>
      <c r="F952" s="431"/>
      <c r="G952" s="431"/>
      <c r="H952" s="431"/>
      <c r="I952" s="436"/>
      <c r="J952" s="437"/>
    </row>
    <row r="953">
      <c r="A953" s="431"/>
      <c r="B953" s="431"/>
      <c r="C953" s="431"/>
      <c r="D953" s="433"/>
      <c r="E953" s="433"/>
      <c r="F953" s="431"/>
      <c r="G953" s="431"/>
      <c r="H953" s="431"/>
      <c r="I953" s="436"/>
      <c r="J953" s="437"/>
    </row>
    <row r="954">
      <c r="A954" s="431"/>
      <c r="B954" s="431"/>
      <c r="C954" s="431"/>
      <c r="D954" s="433"/>
      <c r="E954" s="433"/>
      <c r="F954" s="431"/>
      <c r="G954" s="431"/>
      <c r="H954" s="431"/>
      <c r="I954" s="436"/>
      <c r="J954" s="437"/>
    </row>
    <row r="955">
      <c r="A955" s="431"/>
      <c r="B955" s="431"/>
      <c r="C955" s="431"/>
      <c r="D955" s="433"/>
      <c r="E955" s="433"/>
      <c r="F955" s="431"/>
      <c r="G955" s="431"/>
      <c r="H955" s="431"/>
      <c r="I955" s="436"/>
      <c r="J955" s="437"/>
    </row>
    <row r="956">
      <c r="A956" s="431"/>
      <c r="B956" s="431"/>
      <c r="C956" s="431"/>
      <c r="D956" s="433"/>
      <c r="E956" s="433"/>
      <c r="F956" s="431"/>
      <c r="G956" s="431"/>
      <c r="H956" s="431"/>
      <c r="I956" s="436"/>
      <c r="J956" s="437"/>
    </row>
    <row r="957">
      <c r="A957" s="431"/>
      <c r="B957" s="431"/>
      <c r="C957" s="431"/>
      <c r="D957" s="433"/>
      <c r="E957" s="433"/>
      <c r="F957" s="431"/>
      <c r="G957" s="431"/>
      <c r="H957" s="431"/>
      <c r="I957" s="436"/>
      <c r="J957" s="437"/>
    </row>
    <row r="958">
      <c r="A958" s="431"/>
      <c r="B958" s="431"/>
      <c r="C958" s="431"/>
      <c r="D958" s="433"/>
      <c r="E958" s="433"/>
      <c r="F958" s="431"/>
      <c r="G958" s="431"/>
      <c r="H958" s="431"/>
      <c r="I958" s="436"/>
      <c r="J958" s="437"/>
    </row>
    <row r="959">
      <c r="A959" s="431"/>
      <c r="B959" s="431"/>
      <c r="C959" s="431"/>
      <c r="D959" s="433"/>
      <c r="E959" s="433"/>
      <c r="F959" s="431"/>
      <c r="G959" s="431"/>
      <c r="H959" s="431"/>
      <c r="I959" s="436"/>
      <c r="J959" s="437"/>
    </row>
    <row r="960">
      <c r="A960" s="431"/>
      <c r="B960" s="431"/>
      <c r="C960" s="431"/>
      <c r="D960" s="433"/>
      <c r="E960" s="433"/>
      <c r="F960" s="431"/>
      <c r="G960" s="431"/>
      <c r="H960" s="431"/>
      <c r="I960" s="436"/>
      <c r="J960" s="437"/>
    </row>
    <row r="961">
      <c r="A961" s="431"/>
      <c r="B961" s="431"/>
      <c r="C961" s="431"/>
      <c r="D961" s="433"/>
      <c r="E961" s="433"/>
      <c r="F961" s="431"/>
      <c r="G961" s="431"/>
      <c r="H961" s="431"/>
      <c r="I961" s="436"/>
      <c r="J961" s="437"/>
    </row>
    <row r="962">
      <c r="A962" s="431"/>
      <c r="B962" s="431"/>
      <c r="C962" s="431"/>
      <c r="D962" s="433"/>
      <c r="E962" s="433"/>
      <c r="F962" s="431"/>
      <c r="G962" s="431"/>
      <c r="H962" s="431"/>
      <c r="I962" s="436"/>
      <c r="J962" s="437"/>
    </row>
    <row r="963">
      <c r="A963" s="431"/>
      <c r="B963" s="431"/>
      <c r="C963" s="431"/>
      <c r="D963" s="433"/>
      <c r="E963" s="433"/>
      <c r="F963" s="431"/>
      <c r="G963" s="431"/>
      <c r="H963" s="431"/>
      <c r="I963" s="436"/>
      <c r="J963" s="437"/>
    </row>
    <row r="964">
      <c r="A964" s="431"/>
      <c r="B964" s="431"/>
      <c r="C964" s="431"/>
      <c r="D964" s="433"/>
      <c r="E964" s="433"/>
      <c r="F964" s="431"/>
      <c r="G964" s="431"/>
      <c r="H964" s="431"/>
      <c r="I964" s="436"/>
      <c r="J964" s="437"/>
    </row>
    <row r="965">
      <c r="A965" s="431"/>
      <c r="B965" s="431"/>
      <c r="C965" s="431"/>
      <c r="D965" s="433"/>
      <c r="E965" s="433"/>
      <c r="F965" s="431"/>
      <c r="G965" s="431"/>
      <c r="H965" s="431"/>
      <c r="I965" s="436"/>
      <c r="J965" s="437"/>
    </row>
    <row r="966">
      <c r="A966" s="431"/>
      <c r="B966" s="431"/>
      <c r="C966" s="431"/>
      <c r="D966" s="433"/>
      <c r="E966" s="433"/>
      <c r="F966" s="431"/>
      <c r="G966" s="431"/>
      <c r="H966" s="431"/>
      <c r="I966" s="436"/>
      <c r="J966" s="437"/>
    </row>
    <row r="967">
      <c r="A967" s="431"/>
      <c r="B967" s="431"/>
      <c r="C967" s="431"/>
      <c r="D967" s="433"/>
      <c r="E967" s="433"/>
      <c r="F967" s="431"/>
      <c r="G967" s="431"/>
      <c r="H967" s="431"/>
      <c r="I967" s="436"/>
      <c r="J967" s="437"/>
    </row>
    <row r="968">
      <c r="A968" s="431"/>
      <c r="B968" s="431"/>
      <c r="C968" s="431"/>
      <c r="D968" s="433"/>
      <c r="E968" s="433"/>
      <c r="F968" s="431"/>
      <c r="G968" s="431"/>
      <c r="H968" s="431"/>
      <c r="I968" s="436"/>
      <c r="J968" s="437"/>
    </row>
    <row r="969">
      <c r="A969" s="431"/>
      <c r="B969" s="431"/>
      <c r="C969" s="431"/>
      <c r="D969" s="433"/>
      <c r="E969" s="433"/>
      <c r="F969" s="431"/>
      <c r="G969" s="431"/>
      <c r="H969" s="431"/>
      <c r="I969" s="436"/>
      <c r="J969" s="437"/>
    </row>
    <row r="970">
      <c r="A970" s="431"/>
      <c r="B970" s="431"/>
      <c r="C970" s="431"/>
      <c r="D970" s="433"/>
      <c r="E970" s="433"/>
      <c r="F970" s="431"/>
      <c r="G970" s="431"/>
      <c r="H970" s="431"/>
      <c r="I970" s="436"/>
      <c r="J970" s="437"/>
    </row>
    <row r="971">
      <c r="A971" s="431"/>
      <c r="B971" s="431"/>
      <c r="C971" s="431"/>
      <c r="D971" s="433"/>
      <c r="E971" s="433"/>
      <c r="F971" s="431"/>
      <c r="G971" s="431"/>
      <c r="H971" s="431"/>
      <c r="I971" s="436"/>
      <c r="J971" s="437"/>
    </row>
    <row r="972">
      <c r="A972" s="431"/>
      <c r="B972" s="431"/>
      <c r="C972" s="431"/>
      <c r="D972" s="433"/>
      <c r="E972" s="433"/>
      <c r="F972" s="431"/>
      <c r="G972" s="431"/>
      <c r="H972" s="431"/>
      <c r="I972" s="436"/>
      <c r="J972" s="437"/>
    </row>
    <row r="973">
      <c r="A973" s="431"/>
      <c r="B973" s="431"/>
      <c r="C973" s="431"/>
      <c r="D973" s="433"/>
      <c r="E973" s="433"/>
      <c r="F973" s="431"/>
      <c r="G973" s="431"/>
      <c r="H973" s="431"/>
      <c r="I973" s="436"/>
      <c r="J973" s="437"/>
    </row>
    <row r="974">
      <c r="A974" s="431"/>
      <c r="B974" s="431"/>
      <c r="C974" s="431"/>
      <c r="D974" s="433"/>
      <c r="E974" s="433"/>
      <c r="F974" s="431"/>
      <c r="G974" s="431"/>
      <c r="H974" s="431"/>
      <c r="I974" s="436"/>
      <c r="J974" s="437"/>
    </row>
    <row r="975">
      <c r="A975" s="431"/>
      <c r="B975" s="431"/>
      <c r="C975" s="431"/>
      <c r="D975" s="433"/>
      <c r="E975" s="433"/>
      <c r="F975" s="431"/>
      <c r="G975" s="431"/>
      <c r="H975" s="431"/>
      <c r="I975" s="436"/>
      <c r="J975" s="437"/>
    </row>
    <row r="976">
      <c r="A976" s="431"/>
      <c r="B976" s="431"/>
      <c r="C976" s="431"/>
      <c r="D976" s="433"/>
      <c r="E976" s="433"/>
      <c r="F976" s="431"/>
      <c r="G976" s="431"/>
      <c r="H976" s="431"/>
      <c r="I976" s="436"/>
      <c r="J976" s="437"/>
    </row>
    <row r="977">
      <c r="A977" s="431"/>
      <c r="B977" s="431"/>
      <c r="C977" s="431"/>
      <c r="D977" s="433"/>
      <c r="E977" s="433"/>
      <c r="F977" s="431"/>
      <c r="G977" s="431"/>
      <c r="H977" s="431"/>
      <c r="I977" s="436"/>
      <c r="J977" s="437"/>
    </row>
    <row r="978">
      <c r="A978" s="431"/>
      <c r="B978" s="431"/>
      <c r="C978" s="431"/>
      <c r="D978" s="433"/>
      <c r="E978" s="433"/>
      <c r="F978" s="431"/>
      <c r="G978" s="431"/>
      <c r="H978" s="431"/>
      <c r="I978" s="436"/>
      <c r="J978" s="437"/>
    </row>
    <row r="979">
      <c r="A979" s="431"/>
      <c r="B979" s="431"/>
      <c r="C979" s="431"/>
      <c r="D979" s="433"/>
      <c r="E979" s="433"/>
      <c r="F979" s="431"/>
      <c r="G979" s="431"/>
      <c r="H979" s="431"/>
      <c r="I979" s="436"/>
      <c r="J979" s="437"/>
    </row>
    <row r="980">
      <c r="A980" s="431"/>
      <c r="B980" s="431"/>
      <c r="C980" s="431"/>
      <c r="D980" s="433"/>
      <c r="E980" s="433"/>
      <c r="F980" s="431"/>
      <c r="G980" s="431"/>
      <c r="H980" s="431"/>
      <c r="I980" s="436"/>
      <c r="J980" s="437"/>
    </row>
    <row r="981">
      <c r="A981" s="431"/>
      <c r="B981" s="431"/>
      <c r="C981" s="431"/>
      <c r="D981" s="433"/>
      <c r="E981" s="433"/>
      <c r="F981" s="431"/>
      <c r="G981" s="431"/>
      <c r="H981" s="431"/>
      <c r="I981" s="436"/>
      <c r="J981" s="437"/>
    </row>
    <row r="982">
      <c r="A982" s="431"/>
      <c r="B982" s="431"/>
      <c r="C982" s="431"/>
      <c r="D982" s="433"/>
      <c r="E982" s="433"/>
      <c r="F982" s="431"/>
      <c r="G982" s="431"/>
      <c r="H982" s="431"/>
      <c r="I982" s="436"/>
      <c r="J982" s="437"/>
    </row>
    <row r="983">
      <c r="A983" s="431"/>
      <c r="B983" s="431"/>
      <c r="C983" s="431"/>
      <c r="D983" s="433"/>
      <c r="E983" s="433"/>
      <c r="F983" s="431"/>
      <c r="G983" s="431"/>
      <c r="H983" s="431"/>
      <c r="I983" s="436"/>
      <c r="J983" s="437"/>
    </row>
    <row r="984">
      <c r="A984" s="431"/>
      <c r="B984" s="431"/>
      <c r="C984" s="431"/>
      <c r="D984" s="433"/>
      <c r="E984" s="433"/>
      <c r="F984" s="431"/>
      <c r="G984" s="431"/>
      <c r="H984" s="431"/>
      <c r="I984" s="436"/>
      <c r="J984" s="437"/>
    </row>
    <row r="985">
      <c r="A985" s="431"/>
      <c r="B985" s="431"/>
      <c r="C985" s="431"/>
      <c r="D985" s="433"/>
      <c r="E985" s="433"/>
      <c r="F985" s="431"/>
      <c r="G985" s="431"/>
      <c r="H985" s="431"/>
      <c r="I985" s="436"/>
      <c r="J985" s="437"/>
    </row>
    <row r="986">
      <c r="A986" s="431"/>
      <c r="B986" s="431"/>
      <c r="C986" s="431"/>
      <c r="D986" s="433"/>
      <c r="E986" s="433"/>
      <c r="F986" s="431"/>
      <c r="G986" s="431"/>
      <c r="H986" s="431"/>
      <c r="I986" s="436"/>
      <c r="J986" s="437"/>
    </row>
    <row r="987">
      <c r="A987" s="431"/>
      <c r="B987" s="431"/>
      <c r="C987" s="431"/>
      <c r="D987" s="433"/>
      <c r="E987" s="433"/>
      <c r="F987" s="431"/>
      <c r="G987" s="431"/>
      <c r="H987" s="431"/>
      <c r="I987" s="436"/>
      <c r="J987" s="437"/>
    </row>
    <row r="988">
      <c r="A988" s="431"/>
      <c r="B988" s="431"/>
      <c r="C988" s="431"/>
      <c r="D988" s="433"/>
      <c r="E988" s="433"/>
      <c r="F988" s="431"/>
      <c r="G988" s="431"/>
      <c r="H988" s="431"/>
      <c r="I988" s="436"/>
      <c r="J988" s="437"/>
    </row>
    <row r="989">
      <c r="A989" s="431"/>
      <c r="B989" s="431"/>
      <c r="C989" s="431"/>
      <c r="D989" s="433"/>
      <c r="E989" s="433"/>
      <c r="F989" s="431"/>
      <c r="G989" s="431"/>
      <c r="H989" s="431"/>
      <c r="I989" s="436"/>
      <c r="J989" s="437"/>
    </row>
    <row r="990">
      <c r="A990" s="431"/>
      <c r="B990" s="431"/>
      <c r="C990" s="431"/>
      <c r="D990" s="433"/>
      <c r="E990" s="433"/>
      <c r="F990" s="431"/>
      <c r="G990" s="431"/>
      <c r="H990" s="431"/>
      <c r="I990" s="436"/>
      <c r="J990" s="437"/>
    </row>
    <row r="991">
      <c r="A991" s="431"/>
      <c r="B991" s="431"/>
      <c r="C991" s="431"/>
      <c r="D991" s="433"/>
      <c r="E991" s="433"/>
      <c r="F991" s="431"/>
      <c r="G991" s="431"/>
      <c r="H991" s="431"/>
      <c r="I991" s="436"/>
      <c r="J991" s="437"/>
    </row>
    <row r="992">
      <c r="A992" s="431"/>
      <c r="B992" s="431"/>
      <c r="C992" s="431"/>
      <c r="D992" s="433"/>
      <c r="E992" s="433"/>
      <c r="F992" s="431"/>
      <c r="G992" s="431"/>
      <c r="H992" s="431"/>
      <c r="I992" s="436"/>
      <c r="J992" s="437"/>
    </row>
    <row r="993">
      <c r="A993" s="431"/>
      <c r="B993" s="431"/>
      <c r="C993" s="431"/>
      <c r="D993" s="433"/>
      <c r="E993" s="433"/>
      <c r="F993" s="431"/>
      <c r="G993" s="431"/>
      <c r="H993" s="431"/>
      <c r="I993" s="436"/>
      <c r="J993" s="437"/>
    </row>
    <row r="994">
      <c r="A994" s="431"/>
      <c r="B994" s="431"/>
      <c r="C994" s="431"/>
      <c r="D994" s="433"/>
      <c r="E994" s="433"/>
      <c r="F994" s="431"/>
      <c r="G994" s="431"/>
      <c r="H994" s="431"/>
      <c r="I994" s="436"/>
      <c r="J994" s="437"/>
    </row>
    <row r="995">
      <c r="A995" s="431"/>
      <c r="B995" s="431"/>
      <c r="C995" s="431"/>
      <c r="D995" s="433"/>
      <c r="E995" s="433"/>
      <c r="F995" s="431"/>
      <c r="G995" s="431"/>
      <c r="H995" s="431"/>
      <c r="I995" s="436"/>
      <c r="J995" s="437"/>
    </row>
    <row r="996">
      <c r="A996" s="431"/>
      <c r="B996" s="431"/>
      <c r="C996" s="431"/>
      <c r="D996" s="433"/>
      <c r="E996" s="433"/>
      <c r="F996" s="431"/>
      <c r="G996" s="431"/>
      <c r="H996" s="431"/>
      <c r="I996" s="436"/>
      <c r="J996" s="437"/>
    </row>
    <row r="997">
      <c r="A997" s="431"/>
      <c r="B997" s="431"/>
      <c r="C997" s="431"/>
      <c r="D997" s="433"/>
      <c r="E997" s="433"/>
      <c r="F997" s="431"/>
      <c r="G997" s="431"/>
      <c r="H997" s="431"/>
      <c r="I997" s="436"/>
      <c r="J997" s="437"/>
    </row>
    <row r="998">
      <c r="A998" s="431"/>
      <c r="B998" s="431"/>
      <c r="C998" s="431"/>
      <c r="D998" s="433"/>
      <c r="E998" s="433"/>
      <c r="F998" s="431"/>
      <c r="G998" s="431"/>
      <c r="H998" s="431"/>
      <c r="I998" s="436"/>
      <c r="J998" s="437"/>
    </row>
    <row r="999">
      <c r="A999" s="431"/>
      <c r="B999" s="431"/>
      <c r="C999" s="431"/>
      <c r="D999" s="433"/>
      <c r="E999" s="433"/>
      <c r="F999" s="431"/>
      <c r="G999" s="431"/>
      <c r="H999" s="431"/>
      <c r="I999" s="436"/>
      <c r="J999" s="437"/>
    </row>
    <row r="1000">
      <c r="A1000" s="431"/>
      <c r="B1000" s="431"/>
      <c r="C1000" s="431"/>
      <c r="D1000" s="433"/>
      <c r="E1000" s="433"/>
      <c r="F1000" s="431"/>
      <c r="G1000" s="431"/>
      <c r="H1000" s="431"/>
      <c r="I1000" s="436"/>
      <c r="J1000" s="437"/>
    </row>
    <row r="1001">
      <c r="A1001" s="431"/>
      <c r="B1001" s="431"/>
      <c r="C1001" s="431"/>
      <c r="D1001" s="433"/>
      <c r="E1001" s="433"/>
      <c r="F1001" s="431"/>
      <c r="G1001" s="431"/>
      <c r="H1001" s="431"/>
      <c r="I1001" s="436"/>
      <c r="J1001" s="437"/>
    </row>
    <row r="1002">
      <c r="A1002" s="431"/>
      <c r="B1002" s="431"/>
      <c r="C1002" s="431"/>
      <c r="D1002" s="433"/>
      <c r="E1002" s="433"/>
      <c r="F1002" s="431"/>
      <c r="G1002" s="431"/>
      <c r="H1002" s="431"/>
      <c r="I1002" s="436"/>
      <c r="J1002" s="437"/>
    </row>
    <row r="1003">
      <c r="A1003" s="431"/>
      <c r="B1003" s="431"/>
      <c r="C1003" s="431"/>
      <c r="D1003" s="433"/>
      <c r="E1003" s="433"/>
      <c r="F1003" s="431"/>
      <c r="G1003" s="431"/>
      <c r="H1003" s="431"/>
      <c r="I1003" s="436"/>
      <c r="J1003" s="437"/>
    </row>
    <row r="1004">
      <c r="A1004" s="431"/>
      <c r="B1004" s="431"/>
      <c r="C1004" s="431"/>
      <c r="D1004" s="433"/>
      <c r="E1004" s="433"/>
      <c r="F1004" s="431"/>
      <c r="G1004" s="431"/>
      <c r="H1004" s="431"/>
      <c r="I1004" s="436"/>
      <c r="J1004" s="437"/>
    </row>
    <row r="1005">
      <c r="A1005" s="431"/>
      <c r="B1005" s="431"/>
      <c r="C1005" s="431"/>
      <c r="D1005" s="433"/>
      <c r="E1005" s="433"/>
      <c r="F1005" s="431"/>
      <c r="G1005" s="431"/>
      <c r="H1005" s="431"/>
      <c r="I1005" s="436"/>
      <c r="J1005" s="437"/>
    </row>
    <row r="1006">
      <c r="A1006" s="431"/>
      <c r="B1006" s="431"/>
      <c r="C1006" s="431"/>
      <c r="D1006" s="433"/>
      <c r="E1006" s="433"/>
      <c r="F1006" s="431"/>
      <c r="G1006" s="431"/>
      <c r="H1006" s="431"/>
      <c r="I1006" s="436"/>
      <c r="J1006" s="437"/>
    </row>
    <row r="1007">
      <c r="A1007" s="431"/>
      <c r="B1007" s="431"/>
      <c r="C1007" s="431"/>
      <c r="D1007" s="433"/>
      <c r="E1007" s="433"/>
      <c r="F1007" s="431"/>
      <c r="G1007" s="431"/>
      <c r="H1007" s="431"/>
      <c r="I1007" s="436"/>
      <c r="J1007" s="437"/>
    </row>
    <row r="1008">
      <c r="A1008" s="431"/>
      <c r="B1008" s="431"/>
      <c r="C1008" s="431"/>
      <c r="D1008" s="433"/>
      <c r="E1008" s="433"/>
      <c r="F1008" s="431"/>
      <c r="G1008" s="431"/>
      <c r="H1008" s="431"/>
      <c r="I1008" s="436"/>
      <c r="J1008" s="437"/>
    </row>
    <row r="1009">
      <c r="A1009" s="431"/>
      <c r="B1009" s="431"/>
      <c r="C1009" s="431"/>
      <c r="D1009" s="433"/>
      <c r="E1009" s="433"/>
      <c r="F1009" s="431"/>
      <c r="G1009" s="431"/>
      <c r="H1009" s="431"/>
      <c r="I1009" s="436"/>
      <c r="J1009" s="437"/>
    </row>
    <row r="1010">
      <c r="A1010" s="431"/>
      <c r="B1010" s="431"/>
      <c r="C1010" s="431"/>
      <c r="D1010" s="433"/>
      <c r="E1010" s="433"/>
      <c r="F1010" s="431"/>
      <c r="G1010" s="431"/>
      <c r="H1010" s="431"/>
      <c r="I1010" s="436"/>
      <c r="J1010" s="437"/>
    </row>
    <row r="1011">
      <c r="A1011" s="431"/>
      <c r="B1011" s="431"/>
      <c r="C1011" s="431"/>
      <c r="D1011" s="433"/>
      <c r="E1011" s="433"/>
      <c r="F1011" s="431"/>
      <c r="G1011" s="431"/>
      <c r="H1011" s="431"/>
      <c r="I1011" s="436"/>
      <c r="J1011" s="437"/>
    </row>
    <row r="1012">
      <c r="A1012" s="611"/>
      <c r="B1012" s="611"/>
      <c r="C1012" s="611"/>
      <c r="D1012" s="612"/>
      <c r="E1012" s="612"/>
      <c r="F1012" s="611"/>
      <c r="G1012" s="611"/>
      <c r="H1012" s="611"/>
      <c r="I1012" s="613"/>
      <c r="J1012" s="614"/>
    </row>
    <row r="1013">
      <c r="A1013" s="611"/>
      <c r="B1013" s="611"/>
      <c r="C1013" s="611"/>
      <c r="D1013" s="612"/>
      <c r="E1013" s="612"/>
      <c r="F1013" s="611"/>
      <c r="G1013" s="611"/>
      <c r="H1013" s="611"/>
      <c r="I1013" s="613"/>
      <c r="J1013" s="614"/>
    </row>
    <row r="1014">
      <c r="A1014" s="611"/>
      <c r="B1014" s="611"/>
      <c r="C1014" s="611"/>
      <c r="D1014" s="612"/>
      <c r="E1014" s="612"/>
      <c r="F1014" s="611"/>
      <c r="G1014" s="611"/>
      <c r="H1014" s="611"/>
      <c r="I1014" s="613"/>
      <c r="J1014" s="614"/>
    </row>
    <row r="1015">
      <c r="A1015" s="611"/>
      <c r="B1015" s="611"/>
      <c r="C1015" s="611"/>
      <c r="D1015" s="612"/>
      <c r="E1015" s="612"/>
      <c r="F1015" s="611"/>
      <c r="G1015" s="611"/>
      <c r="H1015" s="611"/>
      <c r="I1015" s="613"/>
      <c r="J1015" s="614"/>
    </row>
    <row r="1016">
      <c r="A1016" s="611"/>
      <c r="B1016" s="611"/>
      <c r="C1016" s="611"/>
      <c r="D1016" s="612"/>
      <c r="E1016" s="612"/>
      <c r="F1016" s="611"/>
      <c r="G1016" s="611"/>
      <c r="H1016" s="611"/>
      <c r="I1016" s="613"/>
      <c r="J1016" s="614"/>
    </row>
    <row r="1017">
      <c r="A1017" s="611"/>
      <c r="B1017" s="611"/>
      <c r="C1017" s="611"/>
      <c r="D1017" s="612"/>
      <c r="E1017" s="612"/>
      <c r="F1017" s="611"/>
      <c r="G1017" s="611"/>
      <c r="H1017" s="611"/>
      <c r="I1017" s="613"/>
      <c r="J1017" s="614"/>
    </row>
    <row r="1018">
      <c r="A1018" s="31"/>
      <c r="B1018" s="31"/>
      <c r="C1018" s="31"/>
      <c r="D1018" s="446"/>
      <c r="E1018" s="446"/>
      <c r="F1018" s="31"/>
      <c r="G1018" s="31"/>
      <c r="H1018" s="31"/>
      <c r="I1018" s="619"/>
      <c r="J1018" s="620"/>
    </row>
  </sheetData>
  <autoFilter ref="$A$2:$J$30"/>
  <mergeCells count="1">
    <mergeCell ref="B1:J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88"/>
    <col customWidth="1" min="3" max="3" width="11.75"/>
    <col customWidth="1" min="4" max="4" width="25.63"/>
    <col customWidth="1" min="5" max="5" width="33.38"/>
    <col customWidth="1" min="6" max="6" width="22.75"/>
    <col customWidth="1" min="7" max="7" width="54.38"/>
    <col customWidth="1" min="9" max="9" width="10.38"/>
  </cols>
  <sheetData>
    <row r="1">
      <c r="A1" s="31"/>
      <c r="B1" s="446"/>
      <c r="C1" s="31"/>
      <c r="D1" s="331"/>
      <c r="E1" s="331"/>
      <c r="F1" s="331"/>
      <c r="G1" s="595"/>
      <c r="I1" s="89"/>
    </row>
    <row r="2">
      <c r="A2" s="31"/>
      <c r="B2" s="446"/>
      <c r="C2" s="31"/>
      <c r="D2" s="331"/>
      <c r="E2" s="331"/>
      <c r="F2" s="331"/>
      <c r="G2" s="595"/>
      <c r="I2" s="89"/>
    </row>
    <row r="3">
      <c r="A3" s="31"/>
      <c r="B3" s="598"/>
      <c r="C3" s="599"/>
      <c r="D3" s="600"/>
      <c r="E3" s="600"/>
      <c r="F3" s="600"/>
      <c r="G3" s="601"/>
      <c r="H3" s="602"/>
      <c r="I3" s="603"/>
      <c r="J3" s="602"/>
      <c r="K3" s="602"/>
      <c r="L3" s="602"/>
    </row>
    <row r="4">
      <c r="A4" s="31"/>
      <c r="B4" s="598"/>
      <c r="C4" s="599"/>
      <c r="D4" s="600"/>
      <c r="E4" s="600"/>
      <c r="F4" s="600"/>
      <c r="G4" s="601"/>
      <c r="H4" s="602"/>
      <c r="I4" s="603"/>
      <c r="J4" s="602"/>
      <c r="K4" s="602"/>
      <c r="L4" s="602"/>
    </row>
    <row r="5">
      <c r="A5" s="31"/>
      <c r="B5" s="604" t="s">
        <v>1532</v>
      </c>
      <c r="C5" s="6"/>
      <c r="D5" s="606">
        <v>1878000.0</v>
      </c>
      <c r="E5" s="600"/>
      <c r="F5" s="608" t="s">
        <v>1535</v>
      </c>
      <c r="G5" s="601"/>
      <c r="H5" s="602"/>
      <c r="I5" s="603"/>
      <c r="J5" s="602"/>
      <c r="K5" s="602"/>
      <c r="L5" s="602"/>
    </row>
    <row r="6">
      <c r="A6" s="31"/>
      <c r="B6" s="615" t="s">
        <v>1536</v>
      </c>
      <c r="C6" s="6"/>
      <c r="D6" s="616">
        <v>1360000.0</v>
      </c>
      <c r="E6" s="617">
        <v>518000.0</v>
      </c>
      <c r="F6" s="618">
        <v>25.9</v>
      </c>
      <c r="G6" s="601"/>
      <c r="H6" s="602"/>
      <c r="I6" s="603"/>
      <c r="J6" s="602"/>
      <c r="K6" s="602"/>
      <c r="L6" s="602"/>
    </row>
    <row r="7">
      <c r="A7" s="31"/>
      <c r="B7" s="598"/>
      <c r="C7" s="599"/>
      <c r="D7" s="600"/>
      <c r="E7" s="600"/>
      <c r="F7" s="600"/>
      <c r="G7" s="601"/>
      <c r="H7" s="602"/>
      <c r="I7" s="603"/>
      <c r="J7" s="602"/>
      <c r="K7" s="602"/>
      <c r="L7" s="602"/>
    </row>
    <row r="8">
      <c r="A8" s="31"/>
      <c r="B8" s="598"/>
      <c r="C8" s="599"/>
      <c r="D8" s="598"/>
      <c r="E8" s="598"/>
      <c r="F8" s="598"/>
      <c r="G8" s="601"/>
      <c r="H8" s="599"/>
      <c r="I8" s="603"/>
      <c r="J8" s="599"/>
      <c r="K8" s="599"/>
      <c r="L8" s="599"/>
      <c r="M8" s="31"/>
      <c r="N8" s="31"/>
      <c r="O8" s="31"/>
      <c r="P8" s="31"/>
      <c r="Q8" s="31"/>
      <c r="R8" s="31"/>
      <c r="S8" s="31"/>
      <c r="T8" s="31"/>
      <c r="U8" s="31"/>
      <c r="V8" s="31"/>
      <c r="W8" s="31"/>
      <c r="X8" s="31"/>
      <c r="Y8" s="31"/>
      <c r="Z8" s="31"/>
      <c r="AA8" s="31"/>
    </row>
    <row r="9">
      <c r="A9" s="117" t="s">
        <v>153</v>
      </c>
      <c r="B9" s="117" t="s">
        <v>439</v>
      </c>
      <c r="C9" s="117" t="s">
        <v>157</v>
      </c>
      <c r="D9" s="117" t="s">
        <v>1539</v>
      </c>
      <c r="E9" s="117" t="s">
        <v>163</v>
      </c>
      <c r="F9" s="117" t="s">
        <v>440</v>
      </c>
      <c r="G9" s="621" t="s">
        <v>164</v>
      </c>
      <c r="H9" s="117" t="s">
        <v>167</v>
      </c>
      <c r="I9" s="117" t="s">
        <v>1541</v>
      </c>
      <c r="J9" s="622" t="s">
        <v>442</v>
      </c>
      <c r="K9" s="623"/>
      <c r="L9" s="599"/>
      <c r="M9" s="31"/>
      <c r="N9" s="31"/>
      <c r="O9" s="31"/>
      <c r="P9" s="31"/>
      <c r="Q9" s="31"/>
      <c r="R9" s="31"/>
      <c r="S9" s="31"/>
      <c r="T9" s="31"/>
      <c r="U9" s="31"/>
      <c r="V9" s="31"/>
      <c r="W9" s="31"/>
      <c r="X9" s="31"/>
      <c r="Y9" s="31"/>
      <c r="Z9" s="31"/>
      <c r="AA9" s="31"/>
    </row>
    <row r="10">
      <c r="A10" s="624" t="s">
        <v>1542</v>
      </c>
      <c r="B10" s="625" t="s">
        <v>1543</v>
      </c>
      <c r="C10" s="624" t="s">
        <v>1544</v>
      </c>
      <c r="D10" s="625" t="s">
        <v>1545</v>
      </c>
      <c r="E10" s="625" t="s">
        <v>1546</v>
      </c>
      <c r="F10" s="625" t="s">
        <v>1547</v>
      </c>
      <c r="G10" s="626" t="s">
        <v>1548</v>
      </c>
      <c r="H10" s="627" t="s">
        <v>202</v>
      </c>
      <c r="I10" s="627">
        <v>5.0</v>
      </c>
      <c r="J10" s="628">
        <v>100000.0</v>
      </c>
      <c r="K10" s="629"/>
      <c r="L10" s="630"/>
    </row>
    <row r="11">
      <c r="A11" s="624" t="s">
        <v>1542</v>
      </c>
      <c r="B11" s="625" t="s">
        <v>1543</v>
      </c>
      <c r="C11" s="624" t="s">
        <v>1550</v>
      </c>
      <c r="D11" s="625" t="s">
        <v>1545</v>
      </c>
      <c r="E11" s="625" t="s">
        <v>254</v>
      </c>
      <c r="F11" s="625" t="s">
        <v>1552</v>
      </c>
      <c r="G11" s="626" t="s">
        <v>1553</v>
      </c>
      <c r="H11" s="627" t="s">
        <v>202</v>
      </c>
      <c r="I11" s="627">
        <v>4.0</v>
      </c>
      <c r="J11" s="628">
        <v>80000.0</v>
      </c>
      <c r="K11" s="629"/>
      <c r="L11" s="630"/>
    </row>
    <row r="12">
      <c r="A12" s="624" t="s">
        <v>1542</v>
      </c>
      <c r="B12" s="625" t="s">
        <v>1543</v>
      </c>
      <c r="C12" s="624" t="s">
        <v>1556</v>
      </c>
      <c r="D12" s="625" t="s">
        <v>1545</v>
      </c>
      <c r="E12" s="625" t="s">
        <v>1557</v>
      </c>
      <c r="F12" s="625" t="s">
        <v>449</v>
      </c>
      <c r="G12" s="631">
        <v>46025.5625</v>
      </c>
      <c r="H12" s="632" t="s">
        <v>202</v>
      </c>
      <c r="I12" s="627">
        <v>1.0</v>
      </c>
      <c r="J12" s="628">
        <v>20000.0</v>
      </c>
      <c r="K12" s="629"/>
      <c r="L12" s="630"/>
    </row>
    <row r="13">
      <c r="A13" s="624" t="s">
        <v>1542</v>
      </c>
      <c r="B13" s="625" t="s">
        <v>1543</v>
      </c>
      <c r="C13" s="624" t="s">
        <v>1558</v>
      </c>
      <c r="D13" s="625" t="s">
        <v>449</v>
      </c>
      <c r="E13" s="625" t="s">
        <v>127</v>
      </c>
      <c r="F13" s="625" t="s">
        <v>453</v>
      </c>
      <c r="G13" s="631">
        <v>46024.5625</v>
      </c>
      <c r="H13" s="632" t="s">
        <v>202</v>
      </c>
      <c r="I13" s="627">
        <v>2.0</v>
      </c>
      <c r="J13" s="628">
        <v>40000.0</v>
      </c>
      <c r="K13" s="629"/>
      <c r="L13" s="630"/>
    </row>
    <row r="14">
      <c r="A14" s="624" t="s">
        <v>1542</v>
      </c>
      <c r="B14" s="625" t="s">
        <v>1543</v>
      </c>
      <c r="C14" s="624" t="s">
        <v>1559</v>
      </c>
      <c r="D14" s="625" t="s">
        <v>449</v>
      </c>
      <c r="E14" s="625" t="s">
        <v>287</v>
      </c>
      <c r="F14" s="625" t="s">
        <v>659</v>
      </c>
      <c r="G14" s="626" t="s">
        <v>1560</v>
      </c>
      <c r="H14" s="627" t="s">
        <v>202</v>
      </c>
      <c r="I14" s="627">
        <v>3.0</v>
      </c>
      <c r="J14" s="628">
        <v>60000.0</v>
      </c>
      <c r="K14" s="630"/>
      <c r="L14" s="630"/>
    </row>
    <row r="15">
      <c r="A15" s="624" t="s">
        <v>1542</v>
      </c>
      <c r="B15" s="625" t="s">
        <v>1543</v>
      </c>
      <c r="C15" s="624" t="s">
        <v>1562</v>
      </c>
      <c r="D15" s="625" t="s">
        <v>449</v>
      </c>
      <c r="E15" s="633" t="s">
        <v>360</v>
      </c>
      <c r="F15" s="625" t="s">
        <v>669</v>
      </c>
      <c r="G15" s="626" t="s">
        <v>331</v>
      </c>
      <c r="H15" s="627" t="s">
        <v>202</v>
      </c>
      <c r="I15" s="627">
        <v>2.0</v>
      </c>
      <c r="J15" s="635">
        <v>40000.0</v>
      </c>
      <c r="K15" s="602"/>
      <c r="L15" s="602"/>
    </row>
    <row r="16">
      <c r="A16" s="624" t="s">
        <v>1542</v>
      </c>
      <c r="B16" s="625" t="s">
        <v>1543</v>
      </c>
      <c r="C16" s="624" t="s">
        <v>1564</v>
      </c>
      <c r="D16" s="625" t="s">
        <v>1545</v>
      </c>
      <c r="E16" s="637" t="s">
        <v>1565</v>
      </c>
      <c r="F16" s="625" t="s">
        <v>1567</v>
      </c>
      <c r="G16" s="631">
        <v>46028.56251157408</v>
      </c>
      <c r="H16" s="627" t="s">
        <v>202</v>
      </c>
      <c r="I16" s="627">
        <v>7.0</v>
      </c>
      <c r="J16" s="635">
        <v>140000.0</v>
      </c>
      <c r="K16" s="602"/>
      <c r="L16" s="602"/>
    </row>
    <row r="17">
      <c r="A17" s="638" t="s">
        <v>1542</v>
      </c>
      <c r="B17" s="639" t="s">
        <v>1543</v>
      </c>
      <c r="C17" s="624" t="s">
        <v>1569</v>
      </c>
      <c r="D17" s="639" t="s">
        <v>1545</v>
      </c>
      <c r="E17" s="639" t="s">
        <v>1570</v>
      </c>
      <c r="F17" s="639" t="s">
        <v>900</v>
      </c>
      <c r="G17" s="640"/>
      <c r="H17" s="641"/>
      <c r="I17" s="642">
        <v>3.0</v>
      </c>
      <c r="J17" s="643">
        <v>60000.0</v>
      </c>
    </row>
    <row r="18">
      <c r="A18" s="644" t="s">
        <v>1542</v>
      </c>
      <c r="B18" s="645" t="s">
        <v>1543</v>
      </c>
      <c r="C18" s="644" t="s">
        <v>1572</v>
      </c>
      <c r="D18" s="645" t="s">
        <v>449</v>
      </c>
      <c r="E18" s="645" t="s">
        <v>1573</v>
      </c>
      <c r="F18" s="645" t="s">
        <v>659</v>
      </c>
      <c r="G18" s="647" t="s">
        <v>1575</v>
      </c>
      <c r="H18" s="648"/>
      <c r="I18" s="648">
        <v>2.0</v>
      </c>
      <c r="J18" s="649">
        <v>40000.0</v>
      </c>
      <c r="K18" s="651"/>
      <c r="L18" s="7"/>
      <c r="M18" s="181"/>
      <c r="N18" s="181"/>
      <c r="O18" s="651"/>
      <c r="P18" s="181"/>
      <c r="Q18" s="181"/>
      <c r="R18" s="181"/>
      <c r="S18" s="181"/>
      <c r="T18" s="181"/>
      <c r="U18" s="181"/>
      <c r="V18" s="183"/>
      <c r="W18" s="181"/>
      <c r="X18" s="7"/>
      <c r="Y18" s="7"/>
      <c r="Z18" s="7"/>
      <c r="AA18" s="7"/>
    </row>
    <row r="19">
      <c r="A19" s="652" t="s">
        <v>1542</v>
      </c>
      <c r="B19" s="654" t="s">
        <v>1543</v>
      </c>
      <c r="C19" s="644" t="s">
        <v>1579</v>
      </c>
      <c r="D19" s="656" t="s">
        <v>1545</v>
      </c>
      <c r="E19" s="656" t="s">
        <v>1581</v>
      </c>
      <c r="F19" s="656" t="s">
        <v>1582</v>
      </c>
      <c r="G19" s="657" t="s">
        <v>1583</v>
      </c>
      <c r="H19" s="658" t="s">
        <v>202</v>
      </c>
      <c r="I19" s="659">
        <v>6.0</v>
      </c>
      <c r="J19" s="660">
        <v>120000.0</v>
      </c>
      <c r="K19" s="7"/>
      <c r="L19" s="7"/>
      <c r="M19" s="7"/>
      <c r="N19" s="7"/>
      <c r="O19" s="7"/>
      <c r="P19" s="7"/>
      <c r="Q19" s="7"/>
      <c r="R19" s="7"/>
      <c r="S19" s="7"/>
      <c r="T19" s="7"/>
      <c r="U19" s="7"/>
      <c r="V19" s="7"/>
      <c r="W19" s="7"/>
      <c r="X19" s="7"/>
      <c r="Y19" s="7"/>
      <c r="Z19" s="7"/>
      <c r="AA19" s="7"/>
    </row>
    <row r="20">
      <c r="A20" s="652" t="s">
        <v>1542</v>
      </c>
      <c r="B20" s="654" t="s">
        <v>1543</v>
      </c>
      <c r="C20" s="644" t="s">
        <v>1586</v>
      </c>
      <c r="D20" s="656" t="s">
        <v>1545</v>
      </c>
      <c r="E20" s="656" t="s">
        <v>1587</v>
      </c>
      <c r="F20" s="656" t="s">
        <v>1588</v>
      </c>
      <c r="G20" s="657" t="s">
        <v>1589</v>
      </c>
      <c r="H20" s="658" t="s">
        <v>202</v>
      </c>
      <c r="I20" s="659">
        <v>2.0</v>
      </c>
      <c r="J20" s="660">
        <v>40000.0</v>
      </c>
      <c r="K20" s="7"/>
      <c r="L20" s="7"/>
      <c r="M20" s="7"/>
      <c r="N20" s="7"/>
      <c r="O20" s="7"/>
      <c r="P20" s="7"/>
      <c r="Q20" s="7"/>
      <c r="R20" s="7"/>
      <c r="S20" s="7"/>
      <c r="T20" s="7"/>
      <c r="U20" s="7"/>
      <c r="V20" s="7"/>
      <c r="W20" s="7"/>
      <c r="X20" s="7"/>
      <c r="Y20" s="7"/>
      <c r="Z20" s="7"/>
      <c r="AA20" s="7"/>
    </row>
    <row r="21">
      <c r="A21" s="652" t="s">
        <v>1542</v>
      </c>
      <c r="B21" s="654" t="s">
        <v>1543</v>
      </c>
      <c r="C21" s="644" t="s">
        <v>1592</v>
      </c>
      <c r="D21" s="663" t="s">
        <v>1545</v>
      </c>
      <c r="E21" s="656" t="s">
        <v>1594</v>
      </c>
      <c r="F21" s="656" t="s">
        <v>1596</v>
      </c>
      <c r="G21" s="657" t="s">
        <v>1597</v>
      </c>
      <c r="H21" s="658" t="s">
        <v>202</v>
      </c>
      <c r="I21" s="659">
        <v>4.0</v>
      </c>
      <c r="J21" s="660">
        <v>80000.0</v>
      </c>
      <c r="K21" s="7"/>
      <c r="L21" s="7"/>
      <c r="M21" s="7"/>
      <c r="N21" s="7"/>
      <c r="O21" s="7"/>
      <c r="P21" s="7"/>
      <c r="Q21" s="7"/>
      <c r="R21" s="7"/>
      <c r="S21" s="7"/>
      <c r="T21" s="7"/>
      <c r="U21" s="7"/>
      <c r="V21" s="7"/>
      <c r="W21" s="7"/>
      <c r="X21" s="7"/>
      <c r="Y21" s="7"/>
      <c r="Z21" s="7"/>
      <c r="AA21" s="7"/>
    </row>
    <row r="22">
      <c r="A22" s="666" t="s">
        <v>1542</v>
      </c>
      <c r="B22" s="667" t="s">
        <v>1543</v>
      </c>
      <c r="C22" s="644" t="s">
        <v>1600</v>
      </c>
      <c r="D22" s="667" t="s">
        <v>449</v>
      </c>
      <c r="E22" s="669" t="s">
        <v>236</v>
      </c>
      <c r="F22" s="667" t="s">
        <v>449</v>
      </c>
      <c r="G22" s="670">
        <v>46039.5625</v>
      </c>
      <c r="H22" s="672" t="s">
        <v>202</v>
      </c>
      <c r="I22" s="672">
        <v>2.0</v>
      </c>
      <c r="J22" s="673">
        <v>40000.0</v>
      </c>
      <c r="K22" s="7"/>
      <c r="L22" s="7"/>
      <c r="M22" s="7"/>
      <c r="N22" s="7"/>
      <c r="O22" s="7"/>
      <c r="P22" s="7"/>
      <c r="Q22" s="7"/>
      <c r="R22" s="7"/>
      <c r="S22" s="7"/>
      <c r="T22" s="7"/>
      <c r="U22" s="7"/>
      <c r="V22" s="7"/>
      <c r="W22" s="7"/>
      <c r="X22" s="7"/>
      <c r="Y22" s="7"/>
      <c r="Z22" s="7"/>
      <c r="AA22" s="7"/>
    </row>
    <row r="23">
      <c r="A23" s="666" t="s">
        <v>1542</v>
      </c>
      <c r="B23" s="667" t="s">
        <v>1543</v>
      </c>
      <c r="C23" s="644" t="s">
        <v>1602</v>
      </c>
      <c r="D23" s="667" t="s">
        <v>1603</v>
      </c>
      <c r="E23" s="669" t="s">
        <v>583</v>
      </c>
      <c r="F23" s="667" t="s">
        <v>1603</v>
      </c>
      <c r="G23" s="670">
        <v>46041.5625</v>
      </c>
      <c r="H23" s="672" t="s">
        <v>202</v>
      </c>
      <c r="I23" s="672">
        <v>2.0</v>
      </c>
      <c r="J23" s="673">
        <v>40000.0</v>
      </c>
      <c r="K23" s="7"/>
      <c r="L23" s="7"/>
      <c r="M23" s="7"/>
      <c r="N23" s="7"/>
      <c r="O23" s="7"/>
      <c r="P23" s="7"/>
      <c r="Q23" s="7"/>
      <c r="R23" s="7"/>
      <c r="S23" s="7"/>
      <c r="T23" s="7"/>
      <c r="U23" s="7"/>
      <c r="V23" s="7"/>
      <c r="W23" s="7"/>
      <c r="X23" s="7"/>
      <c r="Y23" s="7"/>
      <c r="Z23" s="7"/>
      <c r="AA23" s="7"/>
    </row>
    <row r="24">
      <c r="A24" s="666" t="s">
        <v>1542</v>
      </c>
      <c r="B24" s="667" t="s">
        <v>1543</v>
      </c>
      <c r="C24" s="644" t="s">
        <v>1606</v>
      </c>
      <c r="D24" s="667" t="s">
        <v>449</v>
      </c>
      <c r="E24" s="669" t="s">
        <v>227</v>
      </c>
      <c r="F24" s="667" t="s">
        <v>449</v>
      </c>
      <c r="G24" s="670">
        <v>46043.5625</v>
      </c>
      <c r="H24" s="672" t="s">
        <v>202</v>
      </c>
      <c r="I24" s="672">
        <v>2.0</v>
      </c>
      <c r="J24" s="673">
        <v>40000.0</v>
      </c>
      <c r="K24" s="7"/>
      <c r="L24" s="7"/>
      <c r="M24" s="7"/>
      <c r="N24" s="7"/>
      <c r="O24" s="7"/>
      <c r="P24" s="7"/>
      <c r="Q24" s="7"/>
      <c r="R24" s="7"/>
      <c r="S24" s="7"/>
      <c r="T24" s="7"/>
      <c r="U24" s="7"/>
      <c r="V24" s="7"/>
      <c r="W24" s="7"/>
      <c r="X24" s="7"/>
      <c r="Y24" s="7"/>
      <c r="Z24" s="7"/>
      <c r="AA24" s="7"/>
    </row>
    <row r="25">
      <c r="A25" s="666" t="s">
        <v>1542</v>
      </c>
      <c r="B25" s="667" t="s">
        <v>1543</v>
      </c>
      <c r="C25" s="644" t="s">
        <v>1609</v>
      </c>
      <c r="D25" s="667" t="s">
        <v>449</v>
      </c>
      <c r="E25" s="669" t="s">
        <v>1611</v>
      </c>
      <c r="F25" s="667" t="s">
        <v>449</v>
      </c>
      <c r="G25" s="670">
        <v>46044.541666666664</v>
      </c>
      <c r="H25" s="672" t="s">
        <v>202</v>
      </c>
      <c r="I25" s="672">
        <v>2.0</v>
      </c>
      <c r="J25" s="673">
        <v>40000.0</v>
      </c>
      <c r="K25" s="7"/>
      <c r="L25" s="7"/>
      <c r="M25" s="7"/>
      <c r="N25" s="7"/>
      <c r="O25" s="7"/>
      <c r="P25" s="7"/>
      <c r="Q25" s="7"/>
      <c r="R25" s="7"/>
      <c r="S25" s="7"/>
      <c r="T25" s="7"/>
      <c r="U25" s="7"/>
      <c r="V25" s="7"/>
      <c r="W25" s="7"/>
      <c r="X25" s="7"/>
      <c r="Y25" s="7"/>
      <c r="Z25" s="7"/>
      <c r="AA25" s="7"/>
    </row>
    <row r="26">
      <c r="A26" s="666" t="s">
        <v>1542</v>
      </c>
      <c r="B26" s="667" t="s">
        <v>1543</v>
      </c>
      <c r="C26" s="644" t="s">
        <v>1613</v>
      </c>
      <c r="D26" s="667" t="s">
        <v>1614</v>
      </c>
      <c r="E26" s="669" t="s">
        <v>1615</v>
      </c>
      <c r="F26" s="667" t="s">
        <v>1614</v>
      </c>
      <c r="G26" s="681" t="s">
        <v>1616</v>
      </c>
      <c r="H26" s="672" t="s">
        <v>202</v>
      </c>
      <c r="I26" s="672">
        <v>3.0</v>
      </c>
      <c r="J26" s="673">
        <v>60000.0</v>
      </c>
      <c r="K26" s="7"/>
      <c r="L26" s="7"/>
      <c r="M26" s="7"/>
      <c r="N26" s="7"/>
      <c r="O26" s="7"/>
      <c r="P26" s="7"/>
      <c r="Q26" s="7"/>
      <c r="R26" s="7"/>
      <c r="S26" s="7"/>
      <c r="T26" s="7"/>
      <c r="U26" s="7"/>
      <c r="V26" s="7"/>
      <c r="W26" s="7"/>
      <c r="X26" s="7"/>
      <c r="Y26" s="7"/>
      <c r="Z26" s="7"/>
      <c r="AA26" s="7"/>
    </row>
    <row r="27">
      <c r="A27" s="666" t="s">
        <v>1542</v>
      </c>
      <c r="B27" s="667" t="s">
        <v>1543</v>
      </c>
      <c r="C27" s="644" t="s">
        <v>1618</v>
      </c>
      <c r="D27" s="667" t="s">
        <v>453</v>
      </c>
      <c r="E27" s="669" t="s">
        <v>265</v>
      </c>
      <c r="F27" s="667" t="s">
        <v>453</v>
      </c>
      <c r="G27" s="670">
        <v>46044.541666666664</v>
      </c>
      <c r="H27" s="672" t="s">
        <v>202</v>
      </c>
      <c r="I27" s="672">
        <v>2.0</v>
      </c>
      <c r="J27" s="673">
        <v>40000.0</v>
      </c>
      <c r="K27" s="7"/>
      <c r="L27" s="7"/>
      <c r="M27" s="7"/>
      <c r="N27" s="7"/>
      <c r="O27" s="7"/>
      <c r="P27" s="7"/>
      <c r="Q27" s="7"/>
      <c r="R27" s="7"/>
      <c r="S27" s="7"/>
      <c r="T27" s="7"/>
      <c r="U27" s="7"/>
      <c r="V27" s="7"/>
      <c r="W27" s="7"/>
      <c r="X27" s="7"/>
      <c r="Y27" s="7"/>
      <c r="Z27" s="7"/>
      <c r="AA27" s="7"/>
    </row>
    <row r="28">
      <c r="A28" s="684" t="s">
        <v>1542</v>
      </c>
      <c r="B28" s="656" t="s">
        <v>1543</v>
      </c>
      <c r="C28" s="644" t="s">
        <v>1620</v>
      </c>
      <c r="D28" s="684" t="s">
        <v>453</v>
      </c>
      <c r="E28" s="688" t="s">
        <v>348</v>
      </c>
      <c r="F28" s="684" t="s">
        <v>453</v>
      </c>
      <c r="G28" s="690">
        <v>46046.375</v>
      </c>
      <c r="H28" s="691" t="s">
        <v>202</v>
      </c>
      <c r="I28" s="692">
        <v>2.0</v>
      </c>
      <c r="J28" s="694">
        <v>40000.0</v>
      </c>
      <c r="K28" s="7"/>
      <c r="L28" s="7"/>
      <c r="M28" s="7"/>
      <c r="N28" s="7"/>
      <c r="O28" s="7"/>
      <c r="P28" s="7"/>
      <c r="Q28" s="7"/>
      <c r="R28" s="7"/>
      <c r="S28" s="7"/>
      <c r="T28" s="7"/>
      <c r="U28" s="7"/>
      <c r="V28" s="7"/>
      <c r="W28" s="7"/>
      <c r="X28" s="7"/>
      <c r="Y28" s="7"/>
      <c r="Z28" s="7"/>
      <c r="AA28" s="7"/>
    </row>
    <row r="29">
      <c r="A29" s="684" t="s">
        <v>1542</v>
      </c>
      <c r="B29" s="656" t="s">
        <v>1543</v>
      </c>
      <c r="C29" s="644" t="s">
        <v>1627</v>
      </c>
      <c r="D29" s="684" t="s">
        <v>1545</v>
      </c>
      <c r="E29" s="688" t="s">
        <v>273</v>
      </c>
      <c r="F29" s="684" t="s">
        <v>1545</v>
      </c>
      <c r="G29" s="690">
        <v>46047.5625</v>
      </c>
      <c r="H29" s="691" t="s">
        <v>202</v>
      </c>
      <c r="I29" s="692">
        <v>2.0</v>
      </c>
      <c r="J29" s="694">
        <v>40000.0</v>
      </c>
      <c r="K29" s="7"/>
      <c r="L29" s="7"/>
      <c r="M29" s="7"/>
      <c r="N29" s="7"/>
      <c r="O29" s="7"/>
      <c r="P29" s="7"/>
      <c r="Q29" s="7"/>
      <c r="R29" s="7"/>
      <c r="S29" s="7"/>
      <c r="T29" s="7"/>
      <c r="U29" s="7"/>
      <c r="V29" s="7"/>
      <c r="W29" s="7"/>
      <c r="X29" s="7"/>
      <c r="Y29" s="7"/>
      <c r="Z29" s="7"/>
      <c r="AA29" s="7"/>
    </row>
    <row r="30">
      <c r="A30" s="684" t="s">
        <v>1542</v>
      </c>
      <c r="B30" s="656" t="s">
        <v>1543</v>
      </c>
      <c r="C30" s="644" t="s">
        <v>1629</v>
      </c>
      <c r="D30" s="684" t="s">
        <v>449</v>
      </c>
      <c r="E30" s="688" t="s">
        <v>1630</v>
      </c>
      <c r="F30" s="684" t="s">
        <v>449</v>
      </c>
      <c r="G30" s="690">
        <v>46047.583333333336</v>
      </c>
      <c r="H30" s="691" t="s">
        <v>202</v>
      </c>
      <c r="I30" s="692">
        <v>2.0</v>
      </c>
      <c r="J30" s="694">
        <v>40000.0</v>
      </c>
      <c r="K30" s="7"/>
      <c r="L30" s="7"/>
      <c r="M30" s="7"/>
      <c r="N30" s="7"/>
      <c r="O30" s="7"/>
      <c r="P30" s="7"/>
      <c r="Q30" s="7"/>
      <c r="R30" s="7"/>
      <c r="S30" s="7"/>
      <c r="T30" s="7"/>
      <c r="U30" s="7"/>
      <c r="V30" s="7"/>
      <c r="W30" s="7"/>
      <c r="X30" s="7"/>
      <c r="Y30" s="7"/>
      <c r="Z30" s="7"/>
      <c r="AA30" s="7"/>
    </row>
    <row r="31">
      <c r="A31" s="684" t="s">
        <v>1542</v>
      </c>
      <c r="B31" s="656" t="s">
        <v>1543</v>
      </c>
      <c r="C31" s="644" t="s">
        <v>1633</v>
      </c>
      <c r="D31" s="684" t="s">
        <v>1634</v>
      </c>
      <c r="E31" s="688" t="s">
        <v>634</v>
      </c>
      <c r="F31" s="684" t="s">
        <v>1634</v>
      </c>
      <c r="G31" s="696" t="s">
        <v>1635</v>
      </c>
      <c r="H31" s="691" t="s">
        <v>202</v>
      </c>
      <c r="I31" s="692">
        <v>3.0</v>
      </c>
      <c r="J31" s="694">
        <v>60000.0</v>
      </c>
      <c r="K31" s="7"/>
      <c r="L31" s="7"/>
      <c r="M31" s="7"/>
      <c r="N31" s="7"/>
      <c r="O31" s="7"/>
      <c r="P31" s="7"/>
      <c r="Q31" s="7"/>
      <c r="R31" s="7"/>
      <c r="S31" s="7"/>
      <c r="T31" s="7"/>
      <c r="U31" s="7"/>
      <c r="V31" s="7"/>
      <c r="W31" s="7"/>
      <c r="X31" s="7"/>
      <c r="Y31" s="7"/>
      <c r="Z31" s="7"/>
      <c r="AA31" s="7"/>
    </row>
    <row r="32">
      <c r="A32" s="684" t="s">
        <v>1542</v>
      </c>
      <c r="B32" s="656" t="s">
        <v>1543</v>
      </c>
      <c r="C32" s="644" t="s">
        <v>1639</v>
      </c>
      <c r="D32" s="684" t="s">
        <v>453</v>
      </c>
      <c r="E32" s="688" t="s">
        <v>1508</v>
      </c>
      <c r="F32" s="684" t="s">
        <v>453</v>
      </c>
      <c r="G32" s="690">
        <v>46049.5625</v>
      </c>
      <c r="H32" s="691" t="s">
        <v>202</v>
      </c>
      <c r="I32" s="692">
        <v>2.0</v>
      </c>
      <c r="J32" s="694">
        <v>40000.0</v>
      </c>
      <c r="K32" s="7"/>
      <c r="L32" s="7"/>
      <c r="M32" s="7"/>
      <c r="N32" s="7"/>
      <c r="O32" s="7"/>
      <c r="P32" s="7"/>
      <c r="Q32" s="7"/>
      <c r="R32" s="7"/>
      <c r="S32" s="7"/>
      <c r="T32" s="7"/>
      <c r="U32" s="7"/>
      <c r="V32" s="7"/>
      <c r="W32" s="7"/>
      <c r="X32" s="7"/>
      <c r="Y32" s="7"/>
      <c r="Z32" s="7"/>
      <c r="AA32" s="7"/>
    </row>
    <row r="33">
      <c r="A33" s="697" t="s">
        <v>1542</v>
      </c>
      <c r="B33" s="698" t="s">
        <v>1543</v>
      </c>
      <c r="C33" s="644" t="s">
        <v>1641</v>
      </c>
      <c r="D33" s="699" t="s">
        <v>1643</v>
      </c>
      <c r="E33" s="700" t="s">
        <v>687</v>
      </c>
      <c r="F33" s="699" t="s">
        <v>1643</v>
      </c>
      <c r="G33" s="701" t="s">
        <v>1645</v>
      </c>
      <c r="H33" s="702" t="s">
        <v>202</v>
      </c>
      <c r="I33" s="703">
        <v>6.0</v>
      </c>
      <c r="J33" s="704">
        <v>120000.0</v>
      </c>
      <c r="K33" s="7"/>
      <c r="L33" s="7"/>
      <c r="M33" s="7"/>
      <c r="N33" s="7"/>
      <c r="O33" s="7"/>
      <c r="P33" s="7"/>
      <c r="Q33" s="7"/>
      <c r="R33" s="7"/>
      <c r="S33" s="7"/>
      <c r="T33" s="7"/>
      <c r="U33" s="7"/>
      <c r="V33" s="7"/>
      <c r="W33" s="7"/>
      <c r="X33" s="7"/>
      <c r="Y33" s="7"/>
      <c r="Z33" s="7"/>
      <c r="AA33" s="7"/>
    </row>
    <row r="34">
      <c r="A34" s="684" t="s">
        <v>1542</v>
      </c>
      <c r="B34" s="656" t="s">
        <v>1543</v>
      </c>
      <c r="C34" s="644" t="s">
        <v>1648</v>
      </c>
      <c r="D34" s="656" t="s">
        <v>453</v>
      </c>
      <c r="E34" s="688" t="s">
        <v>45</v>
      </c>
      <c r="F34" s="684" t="s">
        <v>1649</v>
      </c>
      <c r="G34" s="690">
        <v>46053.5625</v>
      </c>
      <c r="H34" s="691" t="s">
        <v>202</v>
      </c>
      <c r="I34" s="692">
        <v>2.0</v>
      </c>
      <c r="J34" s="705">
        <v>40000.0</v>
      </c>
      <c r="K34" s="7"/>
      <c r="L34" s="7"/>
      <c r="M34" s="7"/>
      <c r="N34" s="7"/>
      <c r="O34" s="7"/>
      <c r="P34" s="7"/>
      <c r="Q34" s="7"/>
      <c r="R34" s="7"/>
      <c r="S34" s="7"/>
      <c r="T34" s="7"/>
      <c r="U34" s="7"/>
      <c r="V34" s="7"/>
      <c r="W34" s="7"/>
      <c r="X34" s="7"/>
      <c r="Y34" s="7"/>
      <c r="Z34" s="7"/>
      <c r="AA34" s="7"/>
    </row>
    <row r="35">
      <c r="K35" s="7"/>
      <c r="L35" s="7"/>
      <c r="M35" s="7"/>
      <c r="N35" s="7"/>
      <c r="O35" s="7"/>
      <c r="P35" s="7"/>
      <c r="Q35" s="7"/>
      <c r="R35" s="7"/>
      <c r="S35" s="7"/>
      <c r="T35" s="7"/>
      <c r="U35" s="7"/>
      <c r="V35" s="7"/>
      <c r="W35" s="7"/>
      <c r="X35" s="7"/>
      <c r="Y35" s="7"/>
      <c r="Z35" s="7"/>
      <c r="AA35" s="7"/>
    </row>
    <row r="36">
      <c r="K36" s="51"/>
      <c r="L36" s="51"/>
      <c r="M36" s="51"/>
      <c r="N36" s="51"/>
      <c r="O36" s="51"/>
      <c r="P36" s="51"/>
      <c r="Q36" s="51"/>
      <c r="R36" s="51"/>
      <c r="S36" s="51"/>
      <c r="T36" s="51"/>
      <c r="U36" s="51"/>
      <c r="V36" s="51"/>
      <c r="W36" s="51"/>
      <c r="X36" s="51"/>
      <c r="Y36" s="51"/>
      <c r="Z36" s="51"/>
      <c r="AA36" s="51"/>
    </row>
    <row r="37">
      <c r="I37" s="707"/>
      <c r="K37" s="51"/>
      <c r="L37" s="51"/>
      <c r="M37" s="51"/>
      <c r="N37" s="51"/>
      <c r="O37" s="51"/>
      <c r="P37" s="51"/>
      <c r="Q37" s="51"/>
      <c r="R37" s="51"/>
      <c r="S37" s="51"/>
      <c r="T37" s="51"/>
      <c r="U37" s="51"/>
      <c r="V37" s="51"/>
      <c r="W37" s="51"/>
      <c r="X37" s="51"/>
      <c r="Y37" s="51"/>
      <c r="Z37" s="51"/>
      <c r="AA37" s="51"/>
    </row>
    <row r="38">
      <c r="K38" s="51"/>
      <c r="L38" s="51"/>
      <c r="M38" s="51"/>
      <c r="N38" s="51"/>
      <c r="O38" s="51"/>
      <c r="P38" s="51"/>
      <c r="Q38" s="51"/>
      <c r="R38" s="51"/>
      <c r="S38" s="51"/>
      <c r="T38" s="51"/>
      <c r="U38" s="51"/>
      <c r="V38" s="51"/>
      <c r="W38" s="51"/>
      <c r="X38" s="51"/>
      <c r="Y38" s="51"/>
      <c r="Z38" s="51"/>
      <c r="AA38" s="51"/>
    </row>
    <row r="39">
      <c r="K39" s="51"/>
      <c r="L39" s="51"/>
      <c r="M39" s="51"/>
      <c r="N39" s="51"/>
      <c r="O39" s="51"/>
      <c r="P39" s="51"/>
      <c r="Q39" s="51"/>
      <c r="R39" s="51"/>
      <c r="S39" s="51"/>
      <c r="T39" s="51"/>
      <c r="U39" s="51"/>
      <c r="V39" s="51"/>
      <c r="W39" s="51"/>
      <c r="X39" s="51"/>
      <c r="Y39" s="51"/>
      <c r="Z39" s="51"/>
      <c r="AA39" s="51"/>
    </row>
    <row r="40">
      <c r="K40" s="51"/>
      <c r="L40" s="51"/>
      <c r="M40" s="51"/>
      <c r="N40" s="51"/>
      <c r="O40" s="51"/>
      <c r="P40" s="51"/>
      <c r="Q40" s="51"/>
      <c r="R40" s="51"/>
      <c r="S40" s="51"/>
      <c r="T40" s="51"/>
      <c r="U40" s="51"/>
      <c r="V40" s="51"/>
      <c r="W40" s="51"/>
      <c r="X40" s="51"/>
      <c r="Y40" s="51"/>
      <c r="Z40" s="51"/>
      <c r="AA40" s="51"/>
    </row>
    <row r="41">
      <c r="K41" s="51"/>
      <c r="L41" s="51"/>
      <c r="M41" s="51"/>
      <c r="N41" s="51"/>
      <c r="O41" s="51"/>
      <c r="P41" s="51"/>
      <c r="Q41" s="51"/>
      <c r="R41" s="51"/>
      <c r="S41" s="51"/>
      <c r="T41" s="51"/>
      <c r="U41" s="51"/>
      <c r="V41" s="51"/>
      <c r="W41" s="51"/>
      <c r="X41" s="51"/>
      <c r="Y41" s="51"/>
      <c r="Z41" s="51"/>
      <c r="AA41" s="51"/>
    </row>
    <row r="42">
      <c r="K42" s="51"/>
      <c r="L42" s="51"/>
      <c r="M42" s="51"/>
      <c r="N42" s="51"/>
      <c r="O42" s="51"/>
      <c r="P42" s="51"/>
      <c r="Q42" s="51"/>
      <c r="R42" s="51"/>
      <c r="S42" s="51"/>
      <c r="T42" s="51"/>
      <c r="U42" s="51"/>
      <c r="V42" s="51"/>
      <c r="W42" s="51"/>
      <c r="X42" s="51"/>
      <c r="Y42" s="51"/>
      <c r="Z42" s="51"/>
      <c r="AA42" s="51"/>
    </row>
    <row r="43">
      <c r="K43" s="51"/>
      <c r="L43" s="51"/>
      <c r="M43" s="51"/>
      <c r="N43" s="51"/>
      <c r="O43" s="51"/>
      <c r="P43" s="51"/>
      <c r="Q43" s="51"/>
      <c r="R43" s="51"/>
      <c r="S43" s="51"/>
      <c r="T43" s="51"/>
      <c r="U43" s="51"/>
      <c r="V43" s="51"/>
      <c r="W43" s="51"/>
      <c r="X43" s="51"/>
      <c r="Y43" s="51"/>
      <c r="Z43" s="51"/>
      <c r="AA43" s="51"/>
    </row>
    <row r="44">
      <c r="K44" s="51"/>
      <c r="L44" s="51"/>
      <c r="M44" s="51"/>
      <c r="N44" s="51"/>
      <c r="O44" s="51"/>
      <c r="P44" s="51"/>
      <c r="Q44" s="51"/>
      <c r="R44" s="51"/>
      <c r="S44" s="51"/>
      <c r="T44" s="51"/>
      <c r="U44" s="51"/>
      <c r="V44" s="51"/>
      <c r="W44" s="51"/>
      <c r="X44" s="51"/>
      <c r="Y44" s="51"/>
      <c r="Z44" s="51"/>
      <c r="AA44" s="51"/>
    </row>
    <row r="45">
      <c r="K45" s="51"/>
      <c r="L45" s="51"/>
      <c r="M45" s="51"/>
      <c r="N45" s="51"/>
      <c r="O45" s="51"/>
      <c r="P45" s="51"/>
      <c r="Q45" s="51"/>
      <c r="R45" s="51"/>
      <c r="S45" s="51"/>
      <c r="T45" s="51"/>
      <c r="U45" s="51"/>
      <c r="V45" s="51"/>
      <c r="W45" s="51"/>
      <c r="X45" s="51"/>
      <c r="Y45" s="51"/>
      <c r="Z45" s="51"/>
      <c r="AA45" s="51"/>
    </row>
    <row r="46">
      <c r="K46" s="51"/>
      <c r="L46" s="51"/>
      <c r="M46" s="51"/>
      <c r="N46" s="51"/>
      <c r="O46" s="51"/>
      <c r="P46" s="51"/>
      <c r="Q46" s="51"/>
      <c r="R46" s="51"/>
      <c r="S46" s="51"/>
      <c r="T46" s="51"/>
      <c r="U46" s="51"/>
      <c r="V46" s="51"/>
      <c r="W46" s="51"/>
      <c r="X46" s="51"/>
      <c r="Y46" s="51"/>
      <c r="Z46" s="51"/>
      <c r="AA46" s="51"/>
    </row>
    <row r="47">
      <c r="K47" s="51"/>
      <c r="L47" s="51"/>
      <c r="M47" s="51"/>
      <c r="N47" s="51"/>
      <c r="O47" s="51"/>
      <c r="P47" s="51"/>
      <c r="Q47" s="51"/>
      <c r="R47" s="51"/>
      <c r="S47" s="51"/>
      <c r="T47" s="51"/>
      <c r="U47" s="51"/>
      <c r="V47" s="51"/>
      <c r="W47" s="51"/>
      <c r="X47" s="51"/>
      <c r="Y47" s="51"/>
      <c r="Z47" s="51"/>
      <c r="AA47" s="51"/>
    </row>
    <row r="48">
      <c r="K48" s="51"/>
      <c r="L48" s="51"/>
      <c r="M48" s="51"/>
      <c r="N48" s="51"/>
      <c r="O48" s="51"/>
      <c r="P48" s="51"/>
      <c r="Q48" s="51"/>
      <c r="R48" s="51"/>
      <c r="S48" s="51"/>
      <c r="T48" s="51"/>
      <c r="U48" s="51"/>
      <c r="V48" s="51"/>
      <c r="W48" s="51"/>
      <c r="X48" s="51"/>
      <c r="Y48" s="51"/>
      <c r="Z48" s="51"/>
      <c r="AA48" s="51"/>
    </row>
    <row r="49">
      <c r="K49" s="51"/>
      <c r="L49" s="51"/>
      <c r="M49" s="51"/>
      <c r="N49" s="51"/>
      <c r="O49" s="51"/>
      <c r="P49" s="51"/>
      <c r="Q49" s="51"/>
      <c r="R49" s="51"/>
      <c r="S49" s="51"/>
      <c r="T49" s="51"/>
      <c r="U49" s="51"/>
      <c r="V49" s="51"/>
      <c r="W49" s="51"/>
      <c r="X49" s="51"/>
      <c r="Y49" s="51"/>
      <c r="Z49" s="51"/>
      <c r="AA49" s="51"/>
    </row>
    <row r="50">
      <c r="K50" s="51"/>
      <c r="L50" s="51"/>
      <c r="M50" s="51"/>
      <c r="N50" s="51"/>
      <c r="O50" s="51"/>
      <c r="P50" s="51"/>
      <c r="Q50" s="51"/>
      <c r="R50" s="51"/>
      <c r="S50" s="51"/>
      <c r="T50" s="51"/>
      <c r="U50" s="51"/>
      <c r="V50" s="51"/>
      <c r="W50" s="51"/>
      <c r="X50" s="51"/>
      <c r="Y50" s="51"/>
      <c r="Z50" s="51"/>
      <c r="AA50" s="51"/>
    </row>
    <row r="51">
      <c r="A51" s="709"/>
      <c r="B51" s="369"/>
      <c r="C51" s="710"/>
      <c r="E51" s="711"/>
      <c r="F51" s="713"/>
      <c r="G51" s="714"/>
      <c r="H51" s="630"/>
      <c r="I51" s="715"/>
      <c r="J51" s="630"/>
      <c r="K51" s="7"/>
      <c r="L51" s="7"/>
      <c r="M51" s="7"/>
      <c r="N51" s="7"/>
      <c r="O51" s="7"/>
      <c r="P51" s="7"/>
      <c r="Q51" s="7"/>
      <c r="R51" s="7"/>
      <c r="S51" s="7"/>
      <c r="T51" s="7"/>
      <c r="U51" s="7"/>
      <c r="V51" s="7"/>
      <c r="W51" s="7"/>
      <c r="X51" s="7"/>
      <c r="Y51" s="7"/>
      <c r="Z51" s="7"/>
      <c r="AA51" s="7"/>
    </row>
    <row r="52">
      <c r="A52" s="709"/>
      <c r="B52" s="369"/>
      <c r="C52" s="710"/>
      <c r="E52" s="711"/>
      <c r="F52" s="713"/>
      <c r="G52" s="714"/>
      <c r="H52" s="630"/>
      <c r="I52" s="715"/>
      <c r="J52" s="630"/>
      <c r="K52" s="7"/>
      <c r="L52" s="7"/>
      <c r="M52" s="7"/>
      <c r="N52" s="7"/>
      <c r="O52" s="7"/>
      <c r="P52" s="7"/>
      <c r="Q52" s="7"/>
      <c r="R52" s="7"/>
      <c r="S52" s="7"/>
      <c r="T52" s="7"/>
      <c r="U52" s="7"/>
      <c r="V52" s="7"/>
      <c r="W52" s="7"/>
      <c r="X52" s="7"/>
      <c r="Y52" s="7"/>
      <c r="Z52" s="7"/>
      <c r="AA52" s="7"/>
    </row>
    <row r="53">
      <c r="A53" s="709"/>
      <c r="B53" s="369"/>
      <c r="C53" s="710"/>
      <c r="E53" s="711"/>
      <c r="F53" s="713"/>
      <c r="G53" s="714"/>
      <c r="H53" s="630"/>
      <c r="I53" s="715"/>
      <c r="J53" s="630"/>
      <c r="K53" s="7"/>
      <c r="L53" s="7"/>
      <c r="M53" s="7"/>
      <c r="N53" s="7"/>
      <c r="O53" s="7"/>
      <c r="P53" s="7"/>
      <c r="Q53" s="7"/>
      <c r="R53" s="7"/>
      <c r="S53" s="7"/>
      <c r="T53" s="7"/>
      <c r="U53" s="7"/>
      <c r="V53" s="7"/>
      <c r="W53" s="7"/>
      <c r="X53" s="7"/>
      <c r="Y53" s="7"/>
      <c r="Z53" s="7"/>
      <c r="AA53" s="7"/>
    </row>
    <row r="54">
      <c r="A54" s="709"/>
      <c r="B54" s="369"/>
      <c r="C54" s="710"/>
      <c r="E54" s="711"/>
      <c r="F54" s="713"/>
      <c r="G54" s="714"/>
      <c r="H54" s="630"/>
      <c r="I54" s="715"/>
      <c r="J54" s="630"/>
      <c r="K54" s="7"/>
      <c r="L54" s="7"/>
      <c r="M54" s="7"/>
      <c r="N54" s="7"/>
      <c r="O54" s="7"/>
      <c r="P54" s="7"/>
      <c r="Q54" s="7"/>
      <c r="R54" s="7"/>
      <c r="S54" s="7"/>
      <c r="T54" s="7"/>
      <c r="U54" s="7"/>
      <c r="V54" s="7"/>
      <c r="W54" s="7"/>
      <c r="X54" s="7"/>
      <c r="Y54" s="7"/>
      <c r="Z54" s="7"/>
      <c r="AA54" s="7"/>
    </row>
    <row r="55">
      <c r="A55" s="709"/>
      <c r="B55" s="369"/>
      <c r="C55" s="710"/>
      <c r="D55" s="719"/>
      <c r="E55" s="711"/>
      <c r="F55" s="713"/>
      <c r="G55" s="714"/>
      <c r="H55" s="630"/>
      <c r="I55" s="715"/>
      <c r="J55" s="630"/>
      <c r="K55" s="7"/>
      <c r="L55" s="7"/>
      <c r="M55" s="7"/>
      <c r="N55" s="7"/>
      <c r="O55" s="7"/>
      <c r="P55" s="7"/>
      <c r="Q55" s="7"/>
      <c r="R55" s="7"/>
      <c r="S55" s="7"/>
      <c r="T55" s="7"/>
      <c r="U55" s="7"/>
      <c r="V55" s="7"/>
      <c r="W55" s="7"/>
      <c r="X55" s="7"/>
      <c r="Y55" s="7"/>
      <c r="Z55" s="7"/>
      <c r="AA55" s="7"/>
    </row>
    <row r="56">
      <c r="A56" s="599"/>
      <c r="B56" s="720" t="s">
        <v>1672</v>
      </c>
      <c r="C56" s="6"/>
      <c r="D56" s="606">
        <f>E6+D58</f>
        <v>2518000</v>
      </c>
      <c r="E56" s="600"/>
      <c r="F56" s="608" t="s">
        <v>1535</v>
      </c>
      <c r="G56" s="601"/>
      <c r="H56" s="602"/>
      <c r="I56" s="603"/>
      <c r="J56" s="602"/>
    </row>
    <row r="57">
      <c r="A57" s="599"/>
      <c r="B57" s="722" t="s">
        <v>1674</v>
      </c>
      <c r="C57" s="6"/>
      <c r="D57" s="616">
        <f>J10+J13+J11+J12+J14+J15+J16+J17+J18+J19+J20+J21+J22+J23+J24+J25+J26+J27+J28+J29+J30+J31+J32+J33+J34</f>
        <v>1460000</v>
      </c>
      <c r="E57" s="617">
        <f>D56-D57</f>
        <v>1058000</v>
      </c>
      <c r="F57" s="618">
        <f>E57/20000</f>
        <v>52.9</v>
      </c>
      <c r="G57" s="601"/>
      <c r="H57" s="602"/>
      <c r="I57" s="603"/>
      <c r="J57" s="602"/>
    </row>
    <row r="58">
      <c r="A58" s="599"/>
      <c r="B58" s="726" t="s">
        <v>1680</v>
      </c>
      <c r="C58" s="6"/>
      <c r="D58" s="727">
        <v>2000000.0</v>
      </c>
      <c r="E58" s="600"/>
      <c r="F58" s="600"/>
      <c r="G58" s="601"/>
      <c r="H58" s="602"/>
      <c r="I58" s="603"/>
      <c r="J58" s="602"/>
    </row>
    <row r="59">
      <c r="A59" s="599"/>
      <c r="B59" s="598"/>
      <c r="C59" s="599"/>
      <c r="D59" s="600"/>
      <c r="E59" s="600"/>
      <c r="F59" s="331"/>
      <c r="G59" s="729"/>
      <c r="H59" s="602"/>
      <c r="I59" s="603"/>
      <c r="J59" s="602"/>
    </row>
    <row r="60">
      <c r="A60" s="31"/>
      <c r="B60" s="446"/>
      <c r="C60" s="31"/>
      <c r="D60" s="331"/>
      <c r="E60" s="331"/>
      <c r="F60" s="331"/>
      <c r="G60" s="595"/>
      <c r="I60" s="89"/>
    </row>
    <row r="61">
      <c r="A61" s="31"/>
      <c r="B61" s="446"/>
      <c r="C61" s="31"/>
      <c r="D61" s="331"/>
      <c r="E61" s="331"/>
      <c r="F61" s="331"/>
      <c r="G61" s="595"/>
      <c r="I61" s="89"/>
    </row>
    <row r="62">
      <c r="A62" s="31"/>
      <c r="B62" s="446"/>
      <c r="C62" s="31"/>
      <c r="D62" s="331"/>
      <c r="E62" s="331"/>
      <c r="F62" s="331"/>
      <c r="G62" s="595"/>
      <c r="I62" s="89"/>
    </row>
    <row r="63">
      <c r="A63" s="31"/>
      <c r="B63" s="446"/>
      <c r="C63" s="31"/>
      <c r="D63" s="331"/>
      <c r="E63" s="331"/>
      <c r="F63" s="331"/>
      <c r="G63" s="595"/>
      <c r="I63" s="89"/>
    </row>
    <row r="64">
      <c r="A64" s="117" t="s">
        <v>153</v>
      </c>
      <c r="B64" s="117" t="s">
        <v>439</v>
      </c>
      <c r="C64" s="117" t="s">
        <v>157</v>
      </c>
      <c r="D64" s="117" t="s">
        <v>1539</v>
      </c>
      <c r="E64" s="117" t="s">
        <v>163</v>
      </c>
      <c r="F64" s="117" t="s">
        <v>440</v>
      </c>
      <c r="G64" s="621" t="s">
        <v>164</v>
      </c>
      <c r="H64" s="117" t="s">
        <v>167</v>
      </c>
      <c r="I64" s="117" t="s">
        <v>1541</v>
      </c>
      <c r="J64" s="622" t="s">
        <v>442</v>
      </c>
      <c r="K64" s="623"/>
      <c r="L64" s="599"/>
      <c r="M64" s="31"/>
      <c r="N64" s="31"/>
      <c r="O64" s="31"/>
      <c r="P64" s="31"/>
      <c r="Q64" s="31"/>
      <c r="R64" s="31"/>
      <c r="S64" s="31"/>
      <c r="T64" s="31"/>
      <c r="U64" s="31"/>
      <c r="V64" s="31"/>
      <c r="W64" s="31"/>
      <c r="X64" s="31"/>
      <c r="Y64" s="31"/>
      <c r="Z64" s="31"/>
      <c r="AA64" s="31"/>
    </row>
    <row r="65">
      <c r="A65" s="684" t="s">
        <v>1542</v>
      </c>
      <c r="B65" s="656" t="s">
        <v>1543</v>
      </c>
      <c r="C65" s="684" t="s">
        <v>1683</v>
      </c>
      <c r="D65" s="656" t="s">
        <v>453</v>
      </c>
      <c r="E65" s="688" t="s">
        <v>452</v>
      </c>
      <c r="F65" s="684" t="s">
        <v>1649</v>
      </c>
      <c r="G65" s="690">
        <v>46057.5625</v>
      </c>
      <c r="H65" s="684" t="s">
        <v>202</v>
      </c>
      <c r="I65" s="692">
        <v>2.0</v>
      </c>
      <c r="J65" s="705">
        <v>40000.0</v>
      </c>
    </row>
    <row r="66">
      <c r="A66" s="652" t="s">
        <v>1542</v>
      </c>
      <c r="B66" s="652" t="s">
        <v>1543</v>
      </c>
      <c r="C66" s="652" t="s">
        <v>1684</v>
      </c>
      <c r="D66" s="654" t="s">
        <v>1685</v>
      </c>
      <c r="E66" s="652" t="s">
        <v>466</v>
      </c>
      <c r="F66" s="652" t="s">
        <v>453</v>
      </c>
      <c r="G66" s="730">
        <v>46061.5625</v>
      </c>
      <c r="H66" s="652" t="s">
        <v>202</v>
      </c>
      <c r="I66" s="659">
        <v>2.0</v>
      </c>
      <c r="J66" s="731">
        <v>40000.0</v>
      </c>
    </row>
    <row r="67">
      <c r="A67" s="652" t="s">
        <v>1542</v>
      </c>
      <c r="B67" s="652" t="s">
        <v>1543</v>
      </c>
      <c r="C67" s="652" t="s">
        <v>1686</v>
      </c>
      <c r="D67" s="654" t="s">
        <v>1685</v>
      </c>
      <c r="E67" s="652" t="s">
        <v>810</v>
      </c>
      <c r="F67" s="652" t="s">
        <v>449</v>
      </c>
      <c r="G67" s="730">
        <v>46062.583333333336</v>
      </c>
      <c r="H67" s="652" t="s">
        <v>202</v>
      </c>
      <c r="I67" s="659">
        <v>1.0</v>
      </c>
      <c r="J67" s="731">
        <v>20000.0</v>
      </c>
    </row>
    <row r="68">
      <c r="A68" s="652" t="s">
        <v>1542</v>
      </c>
      <c r="B68" s="652" t="s">
        <v>1543</v>
      </c>
      <c r="C68" s="652" t="s">
        <v>1687</v>
      </c>
      <c r="D68" s="654" t="s">
        <v>1685</v>
      </c>
      <c r="E68" s="652" t="s">
        <v>1688</v>
      </c>
      <c r="F68" s="652" t="s">
        <v>1614</v>
      </c>
      <c r="G68" s="734" t="s">
        <v>1690</v>
      </c>
      <c r="H68" s="652" t="s">
        <v>202</v>
      </c>
      <c r="I68" s="659">
        <v>3.0</v>
      </c>
      <c r="J68" s="731">
        <v>60000.0</v>
      </c>
    </row>
    <row r="69">
      <c r="A69" s="652" t="s">
        <v>1542</v>
      </c>
      <c r="B69" s="652" t="s">
        <v>1543</v>
      </c>
      <c r="C69" s="652" t="s">
        <v>1693</v>
      </c>
      <c r="D69" s="654" t="s">
        <v>1685</v>
      </c>
      <c r="E69" s="652" t="s">
        <v>1694</v>
      </c>
      <c r="F69" s="654" t="s">
        <v>1695</v>
      </c>
      <c r="G69" s="734" t="s">
        <v>1696</v>
      </c>
      <c r="H69" s="652" t="s">
        <v>202</v>
      </c>
      <c r="I69" s="659">
        <v>5.0</v>
      </c>
      <c r="J69" s="731">
        <v>100000.0</v>
      </c>
    </row>
    <row r="70">
      <c r="A70" s="652" t="s">
        <v>1542</v>
      </c>
      <c r="B70" s="652" t="s">
        <v>1543</v>
      </c>
      <c r="C70" s="652" t="s">
        <v>1697</v>
      </c>
      <c r="D70" s="654" t="s">
        <v>1685</v>
      </c>
      <c r="E70" s="652" t="s">
        <v>1698</v>
      </c>
      <c r="F70" s="654" t="s">
        <v>1699</v>
      </c>
      <c r="G70" s="734" t="s">
        <v>1700</v>
      </c>
      <c r="H70" s="652" t="s">
        <v>202</v>
      </c>
      <c r="I70" s="659">
        <v>6.0</v>
      </c>
      <c r="J70" s="731">
        <v>120000.0</v>
      </c>
    </row>
    <row r="71">
      <c r="A71" s="652" t="s">
        <v>1542</v>
      </c>
      <c r="B71" s="652" t="s">
        <v>1543</v>
      </c>
      <c r="C71" s="652" t="s">
        <v>1701</v>
      </c>
      <c r="D71" s="654" t="s">
        <v>1685</v>
      </c>
      <c r="E71" s="652" t="s">
        <v>796</v>
      </c>
      <c r="F71" s="654" t="s">
        <v>453</v>
      </c>
      <c r="G71" s="730">
        <v>46070.583333333336</v>
      </c>
      <c r="H71" s="652" t="s">
        <v>202</v>
      </c>
      <c r="I71" s="659">
        <v>3.0</v>
      </c>
      <c r="J71" s="731">
        <v>60000.0</v>
      </c>
    </row>
    <row r="72">
      <c r="A72" s="652" t="s">
        <v>1542</v>
      </c>
      <c r="B72" s="652" t="s">
        <v>1543</v>
      </c>
      <c r="C72" s="652" t="s">
        <v>1702</v>
      </c>
      <c r="D72" s="654" t="s">
        <v>1685</v>
      </c>
      <c r="E72" s="652" t="s">
        <v>74</v>
      </c>
      <c r="F72" s="654" t="s">
        <v>453</v>
      </c>
      <c r="G72" s="730">
        <v>46074.5625</v>
      </c>
      <c r="H72" s="652" t="s">
        <v>202</v>
      </c>
      <c r="I72" s="659">
        <v>2.0</v>
      </c>
      <c r="J72" s="731">
        <v>40000.0</v>
      </c>
    </row>
    <row r="73">
      <c r="A73" s="652" t="s">
        <v>1542</v>
      </c>
      <c r="B73" s="652" t="s">
        <v>1543</v>
      </c>
      <c r="C73" s="652" t="s">
        <v>1703</v>
      </c>
      <c r="D73" s="654" t="s">
        <v>1685</v>
      </c>
      <c r="E73" s="652" t="s">
        <v>1704</v>
      </c>
      <c r="F73" s="654" t="s">
        <v>1705</v>
      </c>
      <c r="G73" s="734" t="s">
        <v>1706</v>
      </c>
      <c r="H73" s="652" t="s">
        <v>202</v>
      </c>
      <c r="I73" s="659">
        <v>4.0</v>
      </c>
      <c r="J73" s="731">
        <v>80000.0</v>
      </c>
    </row>
    <row r="74">
      <c r="A74" s="652" t="s">
        <v>1542</v>
      </c>
      <c r="B74" s="652" t="s">
        <v>1543</v>
      </c>
      <c r="C74" s="652" t="s">
        <v>1707</v>
      </c>
      <c r="D74" s="654" t="s">
        <v>1685</v>
      </c>
      <c r="E74" s="652" t="s">
        <v>839</v>
      </c>
      <c r="F74" s="654" t="s">
        <v>453</v>
      </c>
      <c r="G74" s="730">
        <v>46076.583333333336</v>
      </c>
      <c r="H74" s="652" t="s">
        <v>202</v>
      </c>
      <c r="I74" s="659">
        <v>4.0</v>
      </c>
      <c r="J74" s="731">
        <v>80000.0</v>
      </c>
    </row>
    <row r="75">
      <c r="A75" s="652" t="s">
        <v>1542</v>
      </c>
      <c r="B75" s="652" t="s">
        <v>1543</v>
      </c>
      <c r="C75" s="652" t="s">
        <v>1708</v>
      </c>
      <c r="D75" s="654" t="s">
        <v>1685</v>
      </c>
      <c r="E75" s="735" t="s">
        <v>1710</v>
      </c>
      <c r="F75" s="735" t="s">
        <v>1582</v>
      </c>
      <c r="G75" s="735" t="s">
        <v>1711</v>
      </c>
      <c r="H75" s="735" t="s">
        <v>202</v>
      </c>
      <c r="I75" s="659">
        <v>5.0</v>
      </c>
      <c r="J75" s="731">
        <v>100000.0</v>
      </c>
    </row>
    <row r="76">
      <c r="A76" s="652" t="s">
        <v>1542</v>
      </c>
      <c r="B76" s="652" t="s">
        <v>1543</v>
      </c>
      <c r="C76" s="652" t="s">
        <v>1715</v>
      </c>
      <c r="D76" s="654" t="s">
        <v>1685</v>
      </c>
      <c r="E76" s="735" t="s">
        <v>860</v>
      </c>
      <c r="F76" s="735" t="s">
        <v>1603</v>
      </c>
      <c r="G76" s="736">
        <v>46077.583333333336</v>
      </c>
      <c r="H76" s="735" t="s">
        <v>202</v>
      </c>
      <c r="I76" s="659">
        <v>3.0</v>
      </c>
      <c r="J76" s="737">
        <v>65000.0</v>
      </c>
      <c r="K76" s="219" t="s">
        <v>1716</v>
      </c>
    </row>
    <row r="77">
      <c r="A77" s="652" t="s">
        <v>1542</v>
      </c>
      <c r="B77" s="652" t="s">
        <v>1543</v>
      </c>
      <c r="C77" s="652" t="s">
        <v>1717</v>
      </c>
      <c r="D77" s="654" t="s">
        <v>1685</v>
      </c>
      <c r="E77" s="652" t="s">
        <v>484</v>
      </c>
      <c r="F77" s="654" t="s">
        <v>453</v>
      </c>
      <c r="G77" s="730">
        <v>46073.5625</v>
      </c>
      <c r="H77" s="652" t="s">
        <v>202</v>
      </c>
      <c r="I77" s="659">
        <v>1.0</v>
      </c>
      <c r="J77" s="731">
        <v>20000.0</v>
      </c>
    </row>
    <row r="78">
      <c r="A78" s="652" t="s">
        <v>1542</v>
      </c>
      <c r="B78" s="652" t="s">
        <v>1543</v>
      </c>
      <c r="C78" s="652" t="s">
        <v>1720</v>
      </c>
      <c r="D78" s="654" t="s">
        <v>1685</v>
      </c>
      <c r="E78" s="652" t="s">
        <v>767</v>
      </c>
      <c r="F78" s="654" t="s">
        <v>449</v>
      </c>
      <c r="G78" s="730">
        <v>46065.541666666664</v>
      </c>
      <c r="H78" s="652" t="s">
        <v>202</v>
      </c>
      <c r="I78" s="659">
        <v>2.0</v>
      </c>
      <c r="J78" s="731">
        <v>40000.0</v>
      </c>
    </row>
    <row r="79">
      <c r="A79" s="652" t="s">
        <v>1542</v>
      </c>
      <c r="B79" s="652" t="s">
        <v>1543</v>
      </c>
      <c r="C79" s="652" t="s">
        <v>1721</v>
      </c>
      <c r="D79" s="654" t="s">
        <v>1685</v>
      </c>
      <c r="E79" s="652" t="s">
        <v>1722</v>
      </c>
      <c r="F79" s="654" t="s">
        <v>1614</v>
      </c>
      <c r="G79" s="734" t="s">
        <v>1723</v>
      </c>
      <c r="H79" s="652" t="s">
        <v>202</v>
      </c>
      <c r="I79" s="659">
        <v>4.0</v>
      </c>
      <c r="J79" s="731">
        <v>80000.0</v>
      </c>
    </row>
    <row r="80">
      <c r="A80" s="652" t="s">
        <v>1542</v>
      </c>
      <c r="B80" s="652" t="s">
        <v>1543</v>
      </c>
      <c r="C80" s="652" t="s">
        <v>1724</v>
      </c>
      <c r="D80" s="654" t="s">
        <v>1685</v>
      </c>
      <c r="E80" s="652" t="s">
        <v>805</v>
      </c>
      <c r="F80" s="654" t="s">
        <v>453</v>
      </c>
      <c r="G80" s="730">
        <v>46069.5625</v>
      </c>
      <c r="H80" s="652" t="s">
        <v>202</v>
      </c>
      <c r="I80" s="659">
        <v>2.0</v>
      </c>
      <c r="J80" s="731">
        <v>40000.0</v>
      </c>
    </row>
    <row r="81">
      <c r="A81" s="652" t="s">
        <v>1542</v>
      </c>
      <c r="B81" s="652" t="s">
        <v>1543</v>
      </c>
      <c r="C81" s="652" t="s">
        <v>1725</v>
      </c>
      <c r="D81" s="654" t="s">
        <v>1685</v>
      </c>
      <c r="E81" s="652" t="s">
        <v>1726</v>
      </c>
      <c r="F81" s="654" t="s">
        <v>1614</v>
      </c>
      <c r="G81" s="734" t="s">
        <v>1727</v>
      </c>
      <c r="H81" s="652" t="s">
        <v>202</v>
      </c>
      <c r="I81" s="659">
        <v>3.0</v>
      </c>
      <c r="J81" s="731">
        <v>60000.0</v>
      </c>
    </row>
    <row r="82">
      <c r="A82" s="652" t="s">
        <v>1542</v>
      </c>
      <c r="B82" s="652" t="s">
        <v>1543</v>
      </c>
      <c r="C82" s="652" t="s">
        <v>1728</v>
      </c>
      <c r="D82" s="654" t="s">
        <v>1685</v>
      </c>
      <c r="E82" s="652" t="s">
        <v>873</v>
      </c>
      <c r="F82" s="654" t="s">
        <v>453</v>
      </c>
      <c r="G82" s="730">
        <v>46075.583333333336</v>
      </c>
      <c r="H82" s="652" t="s">
        <v>202</v>
      </c>
      <c r="I82" s="659">
        <v>2.0</v>
      </c>
      <c r="J82" s="731">
        <v>40000.0</v>
      </c>
    </row>
    <row r="83">
      <c r="A83" s="31"/>
      <c r="B83" s="446"/>
      <c r="C83" s="31"/>
      <c r="D83" s="331"/>
      <c r="E83" s="331"/>
      <c r="F83" s="331"/>
      <c r="G83" s="595"/>
      <c r="I83" s="89"/>
    </row>
    <row r="84">
      <c r="A84" s="31"/>
      <c r="B84" s="446"/>
      <c r="C84" s="31"/>
      <c r="D84" s="331"/>
      <c r="E84" s="331"/>
      <c r="F84" s="331"/>
      <c r="G84" s="595"/>
      <c r="I84" s="89"/>
    </row>
    <row r="85">
      <c r="A85" s="31"/>
      <c r="B85" s="446"/>
      <c r="C85" s="31"/>
      <c r="D85" s="331"/>
      <c r="E85" s="331"/>
      <c r="F85" s="331"/>
      <c r="G85" s="595"/>
      <c r="I85" s="89"/>
    </row>
    <row r="86">
      <c r="A86" s="31"/>
      <c r="B86" s="446"/>
      <c r="C86" s="31"/>
      <c r="D86" s="331"/>
      <c r="E86" s="331"/>
      <c r="F86" s="331"/>
      <c r="G86" s="595"/>
      <c r="I86" s="89"/>
    </row>
    <row r="87">
      <c r="A87" s="31"/>
      <c r="B87" s="446"/>
      <c r="C87" s="31"/>
      <c r="D87" s="331"/>
      <c r="E87" s="331"/>
      <c r="F87" s="331"/>
      <c r="G87" s="595"/>
      <c r="I87" s="89"/>
    </row>
    <row r="88">
      <c r="A88" s="31"/>
      <c r="B88" s="446"/>
      <c r="C88" s="31"/>
      <c r="D88" s="331"/>
      <c r="E88" s="331"/>
      <c r="F88" s="331"/>
      <c r="G88" s="595"/>
      <c r="I88" s="89"/>
    </row>
    <row r="89">
      <c r="A89" s="31"/>
      <c r="B89" s="446"/>
      <c r="C89" s="31"/>
      <c r="D89" s="331"/>
      <c r="E89" s="331"/>
      <c r="F89" s="331"/>
      <c r="G89" s="595"/>
      <c r="I89" s="89"/>
    </row>
    <row r="90">
      <c r="A90" s="31"/>
      <c r="B90" s="446"/>
      <c r="C90" s="31"/>
      <c r="D90" s="331"/>
      <c r="E90" s="331"/>
      <c r="F90" s="331"/>
      <c r="G90" s="595"/>
      <c r="I90" s="89"/>
    </row>
    <row r="91">
      <c r="A91" s="31"/>
      <c r="B91" s="446"/>
      <c r="C91" s="31"/>
      <c r="D91" s="331"/>
      <c r="E91" s="331"/>
      <c r="F91" s="331"/>
      <c r="G91" s="595"/>
      <c r="I91" s="89"/>
    </row>
    <row r="92">
      <c r="A92" s="31"/>
      <c r="B92" s="446"/>
      <c r="C92" s="31"/>
      <c r="D92" s="331"/>
      <c r="E92" s="331"/>
      <c r="F92" s="331"/>
      <c r="G92" s="595"/>
      <c r="I92" s="89"/>
    </row>
    <row r="93">
      <c r="A93" s="31"/>
      <c r="B93" s="446"/>
      <c r="C93" s="31"/>
      <c r="D93" s="331"/>
      <c r="E93" s="331"/>
      <c r="F93" s="331"/>
      <c r="G93" s="595"/>
      <c r="I93" s="89"/>
    </row>
    <row r="94">
      <c r="A94" s="31"/>
      <c r="B94" s="738" t="s">
        <v>1736</v>
      </c>
      <c r="C94" s="6"/>
      <c r="D94" s="606">
        <f>E57+D96</f>
        <v>3558000</v>
      </c>
      <c r="E94" s="600"/>
      <c r="F94" s="608" t="s">
        <v>1535</v>
      </c>
      <c r="G94" s="595"/>
      <c r="I94" s="89"/>
    </row>
    <row r="95">
      <c r="A95" s="31"/>
      <c r="B95" s="722" t="s">
        <v>1738</v>
      </c>
      <c r="C95" s="6"/>
      <c r="D95" s="616">
        <f>J65+J66+J67+J68+J69+J70+J71+J72+J73+J74+J75+J76+J77+J78+J79+J80+J81+J82</f>
        <v>1085000</v>
      </c>
      <c r="E95" s="617">
        <f>D94-D95</f>
        <v>2473000</v>
      </c>
      <c r="F95" s="618">
        <f>E95/25000</f>
        <v>98.92</v>
      </c>
      <c r="G95" s="741"/>
      <c r="I95" s="89"/>
    </row>
    <row r="96">
      <c r="A96" s="31"/>
      <c r="B96" s="742" t="s">
        <v>1741</v>
      </c>
      <c r="C96" s="6"/>
      <c r="D96" s="743">
        <v>2500000.0</v>
      </c>
      <c r="E96" s="600"/>
      <c r="F96" s="600"/>
      <c r="G96" s="741"/>
      <c r="I96" s="89"/>
    </row>
    <row r="97">
      <c r="A97" s="31"/>
      <c r="B97" s="446"/>
      <c r="C97" s="31"/>
      <c r="D97" s="331"/>
      <c r="E97" s="331"/>
      <c r="F97" s="331"/>
      <c r="G97" s="741"/>
      <c r="I97" s="89"/>
    </row>
    <row r="98">
      <c r="A98" s="31"/>
      <c r="B98" s="446"/>
      <c r="C98" s="31"/>
      <c r="D98" s="331"/>
      <c r="E98" s="331"/>
      <c r="F98" s="331"/>
      <c r="G98" s="595"/>
      <c r="I98" s="89"/>
    </row>
    <row r="99">
      <c r="A99" s="31"/>
      <c r="B99" s="446"/>
      <c r="C99" s="31"/>
      <c r="D99" s="331"/>
      <c r="E99" s="331"/>
      <c r="F99" s="331"/>
      <c r="G99" s="595"/>
      <c r="I99" s="89"/>
    </row>
    <row r="100">
      <c r="A100" s="31"/>
      <c r="B100" s="446"/>
      <c r="C100" s="31"/>
      <c r="D100" s="331"/>
      <c r="E100" s="331"/>
      <c r="F100" s="331"/>
      <c r="G100" s="595"/>
      <c r="I100" s="89"/>
    </row>
    <row r="101">
      <c r="A101" s="31"/>
      <c r="B101" s="446"/>
      <c r="C101" s="31"/>
      <c r="D101" s="331"/>
      <c r="E101" s="331"/>
      <c r="F101" s="331"/>
      <c r="G101" s="595"/>
      <c r="I101" s="89"/>
    </row>
    <row r="102">
      <c r="A102" s="31"/>
      <c r="C102" s="31"/>
      <c r="D102" s="331"/>
      <c r="E102" s="331"/>
      <c r="F102" s="331"/>
      <c r="G102" s="595"/>
      <c r="I102" s="89"/>
    </row>
    <row r="103">
      <c r="A103" s="31"/>
      <c r="B103" s="444" t="s">
        <v>1745</v>
      </c>
      <c r="C103" s="31"/>
      <c r="D103" s="331"/>
      <c r="E103" s="331"/>
      <c r="F103" s="331"/>
      <c r="G103" s="595"/>
      <c r="I103" s="89"/>
    </row>
    <row r="104">
      <c r="A104" s="31"/>
      <c r="B104" s="446"/>
      <c r="C104" s="31"/>
      <c r="D104" s="331"/>
      <c r="E104" s="331"/>
      <c r="F104" s="331"/>
      <c r="G104" s="595"/>
      <c r="I104" s="89"/>
    </row>
    <row r="105">
      <c r="A105" s="117" t="s">
        <v>153</v>
      </c>
      <c r="B105" s="117" t="s">
        <v>439</v>
      </c>
      <c r="C105" s="117" t="s">
        <v>157</v>
      </c>
      <c r="D105" s="117" t="s">
        <v>1539</v>
      </c>
      <c r="E105" s="117" t="s">
        <v>163</v>
      </c>
      <c r="F105" s="117" t="s">
        <v>440</v>
      </c>
      <c r="G105" s="621" t="s">
        <v>164</v>
      </c>
      <c r="H105" s="117" t="s">
        <v>167</v>
      </c>
      <c r="I105" s="117" t="s">
        <v>1541</v>
      </c>
      <c r="J105" s="622" t="s">
        <v>442</v>
      </c>
    </row>
    <row r="106">
      <c r="A106" s="749" t="s">
        <v>1542</v>
      </c>
      <c r="B106" s="749" t="s">
        <v>1543</v>
      </c>
      <c r="C106" s="749" t="s">
        <v>1748</v>
      </c>
      <c r="D106" s="750" t="s">
        <v>1685</v>
      </c>
      <c r="E106" s="749" t="s">
        <v>1750</v>
      </c>
      <c r="F106" s="751" t="s">
        <v>453</v>
      </c>
      <c r="G106" s="752">
        <v>46078.5625</v>
      </c>
      <c r="H106" s="749" t="s">
        <v>202</v>
      </c>
      <c r="I106" s="753">
        <v>2.0</v>
      </c>
      <c r="J106" s="754">
        <v>50000.0</v>
      </c>
    </row>
    <row r="107">
      <c r="A107" s="749" t="s">
        <v>1542</v>
      </c>
      <c r="B107" s="749" t="s">
        <v>1543</v>
      </c>
      <c r="C107" s="749" t="s">
        <v>1753</v>
      </c>
      <c r="D107" s="750" t="s">
        <v>1685</v>
      </c>
      <c r="E107" s="749" t="s">
        <v>1269</v>
      </c>
      <c r="F107" s="751" t="s">
        <v>453</v>
      </c>
      <c r="G107" s="752">
        <v>46078.583333333336</v>
      </c>
      <c r="H107" s="749" t="s">
        <v>202</v>
      </c>
      <c r="I107" s="753">
        <v>2.0</v>
      </c>
      <c r="J107" s="754">
        <v>50000.0</v>
      </c>
    </row>
    <row r="108">
      <c r="A108" s="749" t="s">
        <v>1542</v>
      </c>
      <c r="B108" s="749" t="s">
        <v>1543</v>
      </c>
      <c r="C108" s="749" t="s">
        <v>1754</v>
      </c>
      <c r="D108" s="750" t="s">
        <v>1685</v>
      </c>
      <c r="E108" s="749" t="s">
        <v>1756</v>
      </c>
      <c r="F108" s="751" t="s">
        <v>1757</v>
      </c>
      <c r="G108" s="757" t="s">
        <v>1758</v>
      </c>
      <c r="H108" s="749" t="s">
        <v>202</v>
      </c>
      <c r="I108" s="753">
        <v>4.0</v>
      </c>
      <c r="J108" s="754">
        <v>100000.0</v>
      </c>
    </row>
    <row r="109">
      <c r="A109" s="751" t="s">
        <v>1542</v>
      </c>
      <c r="B109" s="751" t="s">
        <v>1543</v>
      </c>
      <c r="C109" s="751" t="s">
        <v>1760</v>
      </c>
      <c r="D109" s="751" t="s">
        <v>1685</v>
      </c>
      <c r="E109" s="751" t="s">
        <v>1278</v>
      </c>
      <c r="F109" s="751" t="s">
        <v>1685</v>
      </c>
      <c r="G109" s="752">
        <v>46082.583333333336</v>
      </c>
      <c r="H109" s="751" t="s">
        <v>202</v>
      </c>
      <c r="I109" s="753">
        <v>2.0</v>
      </c>
      <c r="J109" s="754">
        <v>50000.0</v>
      </c>
      <c r="M109" s="219" t="s">
        <v>1543</v>
      </c>
    </row>
    <row r="110">
      <c r="A110" s="751" t="s">
        <v>1542</v>
      </c>
      <c r="B110" s="751" t="s">
        <v>1543</v>
      </c>
      <c r="C110" s="751" t="s">
        <v>1761</v>
      </c>
      <c r="D110" s="751" t="s">
        <v>1685</v>
      </c>
      <c r="E110" s="751" t="s">
        <v>610</v>
      </c>
      <c r="F110" s="751" t="s">
        <v>1685</v>
      </c>
      <c r="G110" s="752">
        <v>46085.541666666664</v>
      </c>
      <c r="H110" s="751" t="s">
        <v>202</v>
      </c>
      <c r="I110" s="753">
        <v>2.0</v>
      </c>
      <c r="J110" s="754">
        <v>50000.0</v>
      </c>
    </row>
    <row r="111">
      <c r="A111" s="751" t="s">
        <v>1542</v>
      </c>
      <c r="B111" s="751" t="s">
        <v>1543</v>
      </c>
      <c r="C111" s="751" t="s">
        <v>1762</v>
      </c>
      <c r="D111" s="751" t="s">
        <v>1685</v>
      </c>
      <c r="E111" s="751" t="s">
        <v>586</v>
      </c>
      <c r="F111" s="751" t="s">
        <v>453</v>
      </c>
      <c r="G111" s="752">
        <v>46086.5625</v>
      </c>
      <c r="H111" s="751" t="s">
        <v>202</v>
      </c>
      <c r="I111" s="753">
        <v>2.0</v>
      </c>
      <c r="J111" s="754">
        <v>50000.0</v>
      </c>
    </row>
    <row r="112">
      <c r="A112" s="751" t="s">
        <v>1542</v>
      </c>
      <c r="B112" s="751" t="s">
        <v>1543</v>
      </c>
      <c r="C112" s="751" t="s">
        <v>1765</v>
      </c>
      <c r="D112" s="751" t="s">
        <v>1685</v>
      </c>
      <c r="E112" s="751" t="s">
        <v>1767</v>
      </c>
      <c r="F112" s="751" t="s">
        <v>1695</v>
      </c>
      <c r="G112" s="757" t="s">
        <v>1768</v>
      </c>
      <c r="H112" s="751" t="s">
        <v>202</v>
      </c>
      <c r="I112" s="753">
        <v>7.0</v>
      </c>
      <c r="J112" s="754">
        <v>175000.0</v>
      </c>
      <c r="K112" s="759"/>
      <c r="L112" s="760" t="s">
        <v>1769</v>
      </c>
      <c r="M112" s="759"/>
      <c r="N112" s="759"/>
    </row>
    <row r="113">
      <c r="A113" s="751" t="s">
        <v>1542</v>
      </c>
      <c r="B113" s="751" t="s">
        <v>1543</v>
      </c>
      <c r="C113" s="751" t="s">
        <v>1770</v>
      </c>
      <c r="D113" s="751" t="s">
        <v>1685</v>
      </c>
      <c r="E113" s="751" t="s">
        <v>1771</v>
      </c>
      <c r="F113" s="751" t="s">
        <v>1614</v>
      </c>
      <c r="G113" s="757" t="s">
        <v>1772</v>
      </c>
      <c r="H113" s="751" t="s">
        <v>202</v>
      </c>
      <c r="I113" s="753">
        <v>5.0</v>
      </c>
      <c r="J113" s="754">
        <v>125000.0</v>
      </c>
    </row>
    <row r="114">
      <c r="A114" s="751" t="s">
        <v>1542</v>
      </c>
      <c r="B114" s="751" t="s">
        <v>1543</v>
      </c>
      <c r="C114" s="751" t="s">
        <v>1773</v>
      </c>
      <c r="D114" s="751" t="s">
        <v>1685</v>
      </c>
      <c r="E114" s="751" t="s">
        <v>923</v>
      </c>
      <c r="F114" s="751" t="s">
        <v>453</v>
      </c>
      <c r="G114" s="752">
        <v>46092.583333333336</v>
      </c>
      <c r="H114" s="751" t="s">
        <v>202</v>
      </c>
      <c r="I114" s="753">
        <v>2.0</v>
      </c>
      <c r="J114" s="754">
        <v>50000.0</v>
      </c>
    </row>
    <row r="115">
      <c r="A115" s="751" t="s">
        <v>1542</v>
      </c>
      <c r="B115" s="751" t="s">
        <v>1543</v>
      </c>
      <c r="C115" s="751" t="s">
        <v>1774</v>
      </c>
      <c r="D115" s="751" t="s">
        <v>1685</v>
      </c>
      <c r="E115" s="751" t="s">
        <v>942</v>
      </c>
      <c r="F115" s="751" t="s">
        <v>453</v>
      </c>
      <c r="G115" s="752">
        <v>46093.583333333336</v>
      </c>
      <c r="H115" s="751" t="s">
        <v>202</v>
      </c>
      <c r="I115" s="753">
        <v>2.0</v>
      </c>
      <c r="J115" s="754">
        <v>50000.0</v>
      </c>
    </row>
    <row r="116">
      <c r="A116" s="751" t="s">
        <v>1542</v>
      </c>
      <c r="B116" s="751" t="s">
        <v>1543</v>
      </c>
      <c r="C116" s="751" t="s">
        <v>1776</v>
      </c>
      <c r="D116" s="751" t="s">
        <v>1685</v>
      </c>
      <c r="E116" s="751" t="s">
        <v>977</v>
      </c>
      <c r="F116" s="751" t="s">
        <v>1588</v>
      </c>
      <c r="G116" s="752">
        <v>46094.5625</v>
      </c>
      <c r="H116" s="751" t="s">
        <v>202</v>
      </c>
      <c r="I116" s="753">
        <v>2.0</v>
      </c>
      <c r="J116" s="754">
        <v>50000.0</v>
      </c>
    </row>
    <row r="117">
      <c r="A117" s="751" t="s">
        <v>1542</v>
      </c>
      <c r="B117" s="751" t="s">
        <v>1543</v>
      </c>
      <c r="C117" s="751" t="s">
        <v>1777</v>
      </c>
      <c r="D117" s="751" t="s">
        <v>1685</v>
      </c>
      <c r="E117" s="751" t="s">
        <v>637</v>
      </c>
      <c r="F117" s="751" t="s">
        <v>449</v>
      </c>
      <c r="G117" s="752">
        <v>46094.583333333336</v>
      </c>
      <c r="H117" s="751" t="s">
        <v>202</v>
      </c>
      <c r="I117" s="761">
        <v>3.0</v>
      </c>
      <c r="J117" s="754">
        <v>75000.0</v>
      </c>
      <c r="K117" s="759"/>
      <c r="L117" s="760" t="s">
        <v>1780</v>
      </c>
      <c r="M117" s="759"/>
      <c r="N117" s="759"/>
    </row>
    <row r="118">
      <c r="A118" s="751" t="s">
        <v>1542</v>
      </c>
      <c r="B118" s="751" t="s">
        <v>1543</v>
      </c>
      <c r="C118" s="751" t="s">
        <v>1781</v>
      </c>
      <c r="D118" s="751" t="s">
        <v>1685</v>
      </c>
      <c r="E118" s="751" t="s">
        <v>1782</v>
      </c>
      <c r="F118" s="751" t="s">
        <v>1588</v>
      </c>
      <c r="G118" s="751" t="s">
        <v>1783</v>
      </c>
      <c r="H118" s="751" t="s">
        <v>202</v>
      </c>
      <c r="I118" s="753">
        <v>5.0</v>
      </c>
      <c r="J118" s="754">
        <v>125000.0</v>
      </c>
    </row>
    <row r="119">
      <c r="A119" s="751" t="s">
        <v>1542</v>
      </c>
      <c r="B119" s="751" t="s">
        <v>1543</v>
      </c>
      <c r="C119" s="751" t="s">
        <v>1784</v>
      </c>
      <c r="D119" s="751" t="s">
        <v>1685</v>
      </c>
      <c r="E119" s="751" t="s">
        <v>1017</v>
      </c>
      <c r="F119" s="751" t="s">
        <v>1685</v>
      </c>
      <c r="G119" s="752">
        <v>46096.5625</v>
      </c>
      <c r="H119" s="751" t="s">
        <v>202</v>
      </c>
      <c r="I119" s="761">
        <v>2.0</v>
      </c>
      <c r="J119" s="754">
        <v>50000.0</v>
      </c>
      <c r="K119" s="759"/>
      <c r="L119" s="760" t="s">
        <v>1785</v>
      </c>
      <c r="M119" s="759"/>
      <c r="N119" s="760" t="s">
        <v>1786</v>
      </c>
    </row>
    <row r="120">
      <c r="A120" s="751" t="s">
        <v>1542</v>
      </c>
      <c r="B120" s="751" t="s">
        <v>1543</v>
      </c>
      <c r="C120" s="751" t="s">
        <v>1788</v>
      </c>
      <c r="D120" s="751" t="s">
        <v>1685</v>
      </c>
      <c r="E120" s="751" t="s">
        <v>1013</v>
      </c>
      <c r="F120" s="751" t="s">
        <v>1685</v>
      </c>
      <c r="G120" s="762">
        <v>46097.572916666664</v>
      </c>
      <c r="H120" s="751" t="s">
        <v>202</v>
      </c>
      <c r="I120" s="761">
        <v>2.0</v>
      </c>
      <c r="J120" s="754">
        <v>50000.0</v>
      </c>
    </row>
    <row r="121">
      <c r="A121" s="751" t="s">
        <v>1542</v>
      </c>
      <c r="B121" s="751" t="s">
        <v>1543</v>
      </c>
      <c r="C121" s="751" t="s">
        <v>1789</v>
      </c>
      <c r="D121" s="751" t="s">
        <v>1685</v>
      </c>
      <c r="E121" s="751" t="s">
        <v>1790</v>
      </c>
      <c r="F121" s="751" t="s">
        <v>1791</v>
      </c>
      <c r="G121" s="751" t="s">
        <v>1792</v>
      </c>
      <c r="H121" s="751" t="s">
        <v>202</v>
      </c>
      <c r="I121" s="761">
        <v>4.0</v>
      </c>
      <c r="J121" s="754">
        <v>100000.0</v>
      </c>
    </row>
    <row r="122">
      <c r="A122" s="751" t="s">
        <v>1542</v>
      </c>
      <c r="B122" s="751" t="s">
        <v>1543</v>
      </c>
      <c r="C122" s="751" t="s">
        <v>1793</v>
      </c>
      <c r="D122" s="751" t="s">
        <v>1685</v>
      </c>
      <c r="E122" s="751" t="s">
        <v>990</v>
      </c>
      <c r="F122" s="751" t="s">
        <v>1685</v>
      </c>
      <c r="G122" s="752">
        <v>46099.572916666664</v>
      </c>
      <c r="H122" s="751" t="s">
        <v>202</v>
      </c>
      <c r="I122" s="761">
        <v>1.0</v>
      </c>
      <c r="J122" s="754">
        <v>25000.0</v>
      </c>
    </row>
    <row r="123">
      <c r="A123" s="751" t="s">
        <v>1542</v>
      </c>
      <c r="B123" s="751" t="s">
        <v>1543</v>
      </c>
      <c r="C123" s="751" t="s">
        <v>1794</v>
      </c>
      <c r="D123" s="751" t="s">
        <v>453</v>
      </c>
      <c r="E123" s="751" t="s">
        <v>1795</v>
      </c>
      <c r="F123" s="751" t="s">
        <v>1796</v>
      </c>
      <c r="G123" s="757" t="s">
        <v>1797</v>
      </c>
      <c r="H123" s="751" t="s">
        <v>202</v>
      </c>
      <c r="I123" s="761">
        <v>3.0</v>
      </c>
      <c r="J123" s="754">
        <v>75000.0</v>
      </c>
    </row>
    <row r="124">
      <c r="A124" s="751" t="s">
        <v>1542</v>
      </c>
      <c r="B124" s="751" t="s">
        <v>1543</v>
      </c>
      <c r="C124" s="751" t="s">
        <v>1798</v>
      </c>
      <c r="D124" s="751" t="s">
        <v>1685</v>
      </c>
      <c r="E124" s="751" t="s">
        <v>1799</v>
      </c>
      <c r="F124" s="751" t="s">
        <v>1800</v>
      </c>
      <c r="G124" s="757" t="s">
        <v>1801</v>
      </c>
      <c r="H124" s="751" t="s">
        <v>202</v>
      </c>
      <c r="I124" s="761">
        <v>7.0</v>
      </c>
      <c r="J124" s="754">
        <v>175000.0</v>
      </c>
    </row>
    <row r="125">
      <c r="A125" s="751" t="s">
        <v>1542</v>
      </c>
      <c r="B125" s="751" t="s">
        <v>1543</v>
      </c>
      <c r="C125" s="751" t="s">
        <v>1802</v>
      </c>
      <c r="D125" s="751" t="s">
        <v>1685</v>
      </c>
      <c r="E125" s="751" t="s">
        <v>143</v>
      </c>
      <c r="F125" s="751" t="s">
        <v>453</v>
      </c>
      <c r="G125" s="752">
        <v>46102.583333333336</v>
      </c>
      <c r="H125" s="751" t="s">
        <v>202</v>
      </c>
      <c r="I125" s="761">
        <v>2.0</v>
      </c>
      <c r="J125" s="754">
        <v>50000.0</v>
      </c>
    </row>
    <row r="126">
      <c r="A126" s="751" t="s">
        <v>1542</v>
      </c>
      <c r="B126" s="751" t="s">
        <v>1543</v>
      </c>
      <c r="C126" s="751" t="s">
        <v>1803</v>
      </c>
      <c r="D126" s="751" t="s">
        <v>449</v>
      </c>
      <c r="E126" s="751" t="s">
        <v>1026</v>
      </c>
      <c r="F126" s="751" t="s">
        <v>449</v>
      </c>
      <c r="G126" s="752">
        <v>46106.541666666664</v>
      </c>
      <c r="H126" s="751" t="s">
        <v>202</v>
      </c>
      <c r="I126" s="761">
        <v>9.0</v>
      </c>
      <c r="J126" s="754">
        <v>225000.0</v>
      </c>
    </row>
    <row r="127">
      <c r="A127" s="751" t="s">
        <v>1542</v>
      </c>
      <c r="B127" s="751" t="s">
        <v>1543</v>
      </c>
      <c r="C127" s="751" t="s">
        <v>1804</v>
      </c>
      <c r="D127" s="751" t="s">
        <v>1685</v>
      </c>
      <c r="E127" s="751" t="s">
        <v>1806</v>
      </c>
      <c r="F127" s="751" t="s">
        <v>1614</v>
      </c>
      <c r="G127" s="757" t="s">
        <v>1808</v>
      </c>
      <c r="H127" s="751" t="s">
        <v>202</v>
      </c>
      <c r="I127" s="761">
        <v>4.0</v>
      </c>
      <c r="J127" s="754">
        <v>100000.0</v>
      </c>
    </row>
    <row r="128">
      <c r="A128" s="751" t="s">
        <v>1542</v>
      </c>
      <c r="B128" s="751" t="s">
        <v>1543</v>
      </c>
      <c r="C128" s="751" t="s">
        <v>1810</v>
      </c>
      <c r="D128" s="751" t="s">
        <v>1685</v>
      </c>
      <c r="E128" s="751" t="s">
        <v>1021</v>
      </c>
      <c r="F128" s="751" t="s">
        <v>453</v>
      </c>
      <c r="G128" s="752">
        <v>46107.583333333336</v>
      </c>
      <c r="H128" s="751" t="s">
        <v>202</v>
      </c>
      <c r="I128" s="761">
        <v>2.0</v>
      </c>
      <c r="J128" s="754">
        <v>50000.0</v>
      </c>
    </row>
    <row r="129">
      <c r="A129" s="751" t="s">
        <v>1542</v>
      </c>
      <c r="B129" s="751" t="s">
        <v>1543</v>
      </c>
      <c r="C129" s="751" t="s">
        <v>1813</v>
      </c>
      <c r="D129" s="751" t="s">
        <v>453</v>
      </c>
      <c r="E129" s="751" t="s">
        <v>593</v>
      </c>
      <c r="F129" s="751" t="s">
        <v>453</v>
      </c>
      <c r="G129" s="752">
        <v>46110.5625</v>
      </c>
      <c r="H129" s="751" t="s">
        <v>202</v>
      </c>
      <c r="I129" s="761">
        <v>3.0</v>
      </c>
      <c r="J129" s="754">
        <v>75000.0</v>
      </c>
    </row>
    <row r="130">
      <c r="A130" s="751" t="s">
        <v>1542</v>
      </c>
      <c r="B130" s="751" t="s">
        <v>1543</v>
      </c>
      <c r="C130" s="751" t="s">
        <v>1814</v>
      </c>
      <c r="D130" s="751" t="s">
        <v>453</v>
      </c>
      <c r="E130" s="751" t="s">
        <v>1076</v>
      </c>
      <c r="F130" s="751" t="s">
        <v>453</v>
      </c>
      <c r="G130" s="752">
        <v>46110.583333333336</v>
      </c>
      <c r="H130" s="751" t="s">
        <v>202</v>
      </c>
      <c r="I130" s="761">
        <v>2.0</v>
      </c>
      <c r="J130" s="754">
        <v>50000.0</v>
      </c>
    </row>
    <row r="131">
      <c r="A131" s="751" t="s">
        <v>1542</v>
      </c>
      <c r="B131" s="751" t="s">
        <v>1543</v>
      </c>
      <c r="C131" s="751" t="s">
        <v>1815</v>
      </c>
      <c r="D131" s="751" t="s">
        <v>1685</v>
      </c>
      <c r="E131" s="751" t="s">
        <v>1607</v>
      </c>
      <c r="F131" s="751" t="s">
        <v>453</v>
      </c>
      <c r="G131" s="752">
        <v>46111.5625</v>
      </c>
      <c r="H131" s="751" t="s">
        <v>202</v>
      </c>
      <c r="I131" s="761">
        <v>2.0</v>
      </c>
      <c r="J131" s="754">
        <v>50000.0</v>
      </c>
    </row>
    <row r="132">
      <c r="A132" s="751" t="s">
        <v>1542</v>
      </c>
      <c r="B132" s="751" t="s">
        <v>1543</v>
      </c>
      <c r="C132" s="751" t="s">
        <v>1817</v>
      </c>
      <c r="D132" s="751" t="s">
        <v>453</v>
      </c>
      <c r="E132" s="751" t="s">
        <v>1818</v>
      </c>
      <c r="F132" s="751" t="s">
        <v>1614</v>
      </c>
      <c r="G132" s="751" t="s">
        <v>1819</v>
      </c>
      <c r="H132" s="751" t="s">
        <v>202</v>
      </c>
      <c r="I132" s="761">
        <v>3.0</v>
      </c>
      <c r="J132" s="754">
        <v>75000.0</v>
      </c>
    </row>
    <row r="133">
      <c r="A133" s="751" t="s">
        <v>1542</v>
      </c>
      <c r="B133" s="751" t="s">
        <v>1543</v>
      </c>
      <c r="C133" s="767" t="s">
        <v>1820</v>
      </c>
      <c r="D133" s="751" t="s">
        <v>1685</v>
      </c>
      <c r="E133" s="751" t="s">
        <v>1824</v>
      </c>
      <c r="F133" s="751" t="s">
        <v>1825</v>
      </c>
      <c r="G133" s="751" t="s">
        <v>1826</v>
      </c>
      <c r="H133" s="751" t="s">
        <v>202</v>
      </c>
      <c r="I133" s="761">
        <v>9.0</v>
      </c>
      <c r="J133" s="754">
        <v>225000.0</v>
      </c>
    </row>
    <row r="137">
      <c r="A137" s="31"/>
      <c r="B137" s="446"/>
      <c r="C137" s="31"/>
      <c r="D137" s="331"/>
      <c r="E137" s="331"/>
      <c r="F137" s="331"/>
      <c r="G137" s="595"/>
      <c r="I137" s="89"/>
    </row>
    <row r="139">
      <c r="A139" s="31"/>
      <c r="B139" s="446"/>
      <c r="C139" s="31"/>
      <c r="D139" s="331"/>
      <c r="E139" s="331"/>
      <c r="F139" s="331"/>
      <c r="G139" s="595"/>
      <c r="I139" s="89"/>
    </row>
    <row r="140">
      <c r="A140" s="31"/>
      <c r="B140" s="446"/>
      <c r="C140" s="31"/>
      <c r="D140" s="331"/>
      <c r="E140" s="331"/>
      <c r="F140" s="331"/>
      <c r="G140" s="595"/>
      <c r="I140" s="89"/>
    </row>
    <row r="141">
      <c r="A141" s="31"/>
      <c r="B141" s="446"/>
      <c r="C141" s="31"/>
      <c r="D141" s="331"/>
      <c r="E141" s="331"/>
      <c r="F141" s="331"/>
      <c r="G141" s="595"/>
      <c r="I141" s="89"/>
    </row>
    <row r="142">
      <c r="A142" s="31"/>
      <c r="B142" s="446"/>
      <c r="C142" s="31"/>
      <c r="D142" s="331"/>
      <c r="E142" s="331"/>
      <c r="F142" s="331"/>
      <c r="G142" s="595"/>
      <c r="I142" s="89"/>
    </row>
    <row r="143">
      <c r="A143" s="31"/>
      <c r="B143" s="738" t="s">
        <v>1829</v>
      </c>
      <c r="C143" s="6"/>
      <c r="D143" s="606">
        <f>E95</f>
        <v>2473000</v>
      </c>
      <c r="E143" s="600"/>
      <c r="F143" s="608" t="s">
        <v>1535</v>
      </c>
      <c r="G143" s="595"/>
      <c r="I143" s="89"/>
    </row>
    <row r="144">
      <c r="A144" s="31"/>
      <c r="B144" s="722" t="s">
        <v>1830</v>
      </c>
      <c r="C144" s="6"/>
      <c r="D144" s="769">
        <f>J106+J107+J108+J109+J110+J111+J112+J114+J115+J116+J117+J113+J118+J119+J120+J121+J122+J123+J124+J125+J126+J127+J128+J129+J130+J131+J132+J133</f>
        <v>2375000</v>
      </c>
      <c r="E144" s="617">
        <f>D143-D144</f>
        <v>98000</v>
      </c>
      <c r="F144" s="618">
        <f>E144/25000</f>
        <v>3.92</v>
      </c>
      <c r="G144" s="770" t="s">
        <v>1834</v>
      </c>
      <c r="I144" s="89"/>
    </row>
    <row r="145">
      <c r="A145" s="31"/>
      <c r="E145" s="600"/>
      <c r="F145" s="600"/>
      <c r="G145" s="595"/>
      <c r="I145" s="89"/>
    </row>
    <row r="146">
      <c r="A146" s="31"/>
      <c r="B146" s="446"/>
      <c r="C146" s="31"/>
      <c r="D146" s="331"/>
      <c r="E146" s="331"/>
      <c r="F146" s="331"/>
      <c r="G146" s="595"/>
      <c r="I146" s="89"/>
    </row>
    <row r="147">
      <c r="A147" s="31"/>
      <c r="B147" s="446"/>
      <c r="C147" s="31"/>
      <c r="D147" s="331"/>
      <c r="E147" s="331"/>
      <c r="F147" s="331"/>
      <c r="G147" s="595"/>
      <c r="I147" s="89"/>
    </row>
    <row r="148">
      <c r="A148" s="31"/>
      <c r="B148" s="446"/>
      <c r="C148" s="31"/>
      <c r="D148" s="331"/>
      <c r="E148" s="331"/>
      <c r="F148" s="331"/>
      <c r="G148" s="595"/>
      <c r="I148" s="89"/>
    </row>
    <row r="149">
      <c r="A149" s="771" t="s">
        <v>1542</v>
      </c>
      <c r="B149" s="771" t="s">
        <v>1543</v>
      </c>
      <c r="C149" s="772" t="s">
        <v>1837</v>
      </c>
      <c r="D149" s="771" t="s">
        <v>453</v>
      </c>
      <c r="E149" s="771" t="s">
        <v>1838</v>
      </c>
      <c r="F149" s="771" t="s">
        <v>453</v>
      </c>
      <c r="G149" s="773">
        <v>46113.5625</v>
      </c>
      <c r="H149" s="771" t="s">
        <v>202</v>
      </c>
      <c r="I149" s="774">
        <v>7.0</v>
      </c>
      <c r="J149" s="775">
        <v>175000.0</v>
      </c>
      <c r="K149" s="776" t="s">
        <v>1840</v>
      </c>
      <c r="L149" s="777"/>
      <c r="M149" s="777"/>
      <c r="N149" s="777"/>
      <c r="O149" s="777"/>
      <c r="P149" s="777"/>
      <c r="Q149" s="777"/>
      <c r="R149" s="777"/>
      <c r="S149" s="777"/>
      <c r="T149" s="777"/>
      <c r="U149" s="777"/>
      <c r="V149" s="777"/>
      <c r="W149" s="777"/>
      <c r="X149" s="777"/>
      <c r="Y149" s="777"/>
      <c r="Z149" s="777"/>
      <c r="AA149" s="777"/>
    </row>
    <row r="150">
      <c r="A150" s="778" t="s">
        <v>1542</v>
      </c>
      <c r="B150" s="778" t="s">
        <v>1543</v>
      </c>
      <c r="C150" s="778" t="s">
        <v>1841</v>
      </c>
      <c r="D150" s="778" t="s">
        <v>1685</v>
      </c>
      <c r="E150" s="778" t="s">
        <v>1050</v>
      </c>
      <c r="F150" s="778" t="s">
        <v>1842</v>
      </c>
      <c r="G150" s="779" t="s">
        <v>1843</v>
      </c>
      <c r="H150" s="778" t="s">
        <v>202</v>
      </c>
      <c r="I150" s="780">
        <v>8.0</v>
      </c>
      <c r="J150" s="781">
        <v>200000.0</v>
      </c>
      <c r="K150" s="783"/>
      <c r="L150" s="783"/>
      <c r="M150" s="783"/>
      <c r="N150" s="783"/>
      <c r="O150" s="783"/>
      <c r="P150" s="783"/>
      <c r="Q150" s="783"/>
      <c r="R150" s="783"/>
      <c r="S150" s="783"/>
      <c r="T150" s="783"/>
      <c r="U150" s="783"/>
      <c r="V150" s="783"/>
      <c r="W150" s="783"/>
      <c r="X150" s="783"/>
      <c r="Y150" s="783"/>
      <c r="Z150" s="783"/>
      <c r="AA150" s="783"/>
    </row>
    <row r="151">
      <c r="A151" s="778" t="s">
        <v>1542</v>
      </c>
      <c r="B151" s="778" t="s">
        <v>1543</v>
      </c>
      <c r="C151" s="778" t="s">
        <v>1844</v>
      </c>
      <c r="D151" s="778" t="s">
        <v>453</v>
      </c>
      <c r="E151" s="778" t="s">
        <v>1845</v>
      </c>
      <c r="F151" s="778" t="s">
        <v>1846</v>
      </c>
      <c r="G151" s="779" t="s">
        <v>1847</v>
      </c>
      <c r="H151" s="778" t="s">
        <v>202</v>
      </c>
      <c r="I151" s="780">
        <v>6.0</v>
      </c>
      <c r="J151" s="781">
        <v>150000.0</v>
      </c>
      <c r="K151" s="783"/>
      <c r="L151" s="783"/>
      <c r="M151" s="783"/>
      <c r="N151" s="783"/>
      <c r="O151" s="783"/>
      <c r="P151" s="783"/>
      <c r="Q151" s="783"/>
      <c r="R151" s="783"/>
      <c r="S151" s="783"/>
      <c r="T151" s="783"/>
      <c r="U151" s="783"/>
      <c r="V151" s="783"/>
      <c r="W151" s="783"/>
      <c r="X151" s="783"/>
      <c r="Y151" s="783"/>
      <c r="Z151" s="783"/>
      <c r="AA151" s="783"/>
    </row>
    <row r="152">
      <c r="A152" s="778" t="s">
        <v>1542</v>
      </c>
      <c r="B152" s="778" t="s">
        <v>1543</v>
      </c>
      <c r="C152" s="778" t="s">
        <v>1849</v>
      </c>
      <c r="D152" s="778" t="s">
        <v>1685</v>
      </c>
      <c r="E152" s="778" t="s">
        <v>1850</v>
      </c>
      <c r="F152" s="778" t="s">
        <v>453</v>
      </c>
      <c r="G152" s="785">
        <v>46115.5625</v>
      </c>
      <c r="H152" s="778" t="s">
        <v>202</v>
      </c>
      <c r="I152" s="780">
        <v>2.0</v>
      </c>
      <c r="J152" s="781">
        <v>50000.0</v>
      </c>
      <c r="K152" s="783"/>
      <c r="L152" s="783"/>
      <c r="M152" s="783"/>
      <c r="N152" s="783"/>
      <c r="O152" s="783"/>
      <c r="P152" s="783"/>
      <c r="Q152" s="783"/>
      <c r="R152" s="783"/>
      <c r="S152" s="783"/>
      <c r="T152" s="783"/>
      <c r="U152" s="783"/>
      <c r="V152" s="783"/>
      <c r="W152" s="783"/>
      <c r="X152" s="783"/>
      <c r="Y152" s="783"/>
      <c r="Z152" s="783"/>
      <c r="AA152" s="783"/>
    </row>
    <row r="153">
      <c r="A153" s="778" t="s">
        <v>1542</v>
      </c>
      <c r="B153" s="778" t="s">
        <v>1543</v>
      </c>
      <c r="C153" s="778" t="s">
        <v>1851</v>
      </c>
      <c r="D153" s="778" t="s">
        <v>1685</v>
      </c>
      <c r="E153" s="778" t="s">
        <v>578</v>
      </c>
      <c r="F153" s="778" t="s">
        <v>453</v>
      </c>
      <c r="G153" s="785">
        <v>46117.583333333336</v>
      </c>
      <c r="H153" s="778" t="s">
        <v>202</v>
      </c>
      <c r="I153" s="780">
        <v>2.0</v>
      </c>
      <c r="J153" s="781">
        <v>50000.0</v>
      </c>
      <c r="K153" s="783"/>
      <c r="L153" s="783"/>
      <c r="M153" s="783"/>
      <c r="N153" s="783"/>
      <c r="O153" s="783"/>
      <c r="P153" s="783"/>
      <c r="Q153" s="783"/>
      <c r="R153" s="783"/>
      <c r="S153" s="783"/>
      <c r="T153" s="783"/>
      <c r="U153" s="783"/>
      <c r="V153" s="783"/>
      <c r="W153" s="783"/>
      <c r="X153" s="783"/>
      <c r="Y153" s="783"/>
      <c r="Z153" s="783"/>
      <c r="AA153" s="783"/>
    </row>
    <row r="154">
      <c r="A154" s="778" t="s">
        <v>1542</v>
      </c>
      <c r="B154" s="778" t="s">
        <v>1543</v>
      </c>
      <c r="C154" s="778" t="s">
        <v>1852</v>
      </c>
      <c r="D154" s="778" t="s">
        <v>453</v>
      </c>
      <c r="E154" s="778" t="s">
        <v>1853</v>
      </c>
      <c r="F154" s="778" t="s">
        <v>1846</v>
      </c>
      <c r="G154" s="779" t="s">
        <v>1854</v>
      </c>
      <c r="H154" s="778" t="s">
        <v>202</v>
      </c>
      <c r="I154" s="780">
        <v>3.0</v>
      </c>
      <c r="J154" s="781">
        <v>75000.0</v>
      </c>
      <c r="K154" s="783"/>
      <c r="L154" s="783"/>
      <c r="M154" s="783"/>
      <c r="N154" s="783"/>
      <c r="O154" s="783"/>
      <c r="P154" s="783"/>
      <c r="Q154" s="783"/>
      <c r="R154" s="783"/>
      <c r="S154" s="783"/>
      <c r="T154" s="783"/>
      <c r="U154" s="783"/>
      <c r="V154" s="783"/>
      <c r="W154" s="783"/>
      <c r="X154" s="783"/>
      <c r="Y154" s="783"/>
      <c r="Z154" s="783"/>
      <c r="AA154" s="783"/>
    </row>
    <row r="155">
      <c r="A155" s="778" t="s">
        <v>1542</v>
      </c>
      <c r="B155" s="778" t="s">
        <v>1543</v>
      </c>
      <c r="C155" s="778" t="s">
        <v>1855</v>
      </c>
      <c r="D155" s="778" t="s">
        <v>1685</v>
      </c>
      <c r="E155" s="778" t="s">
        <v>1856</v>
      </c>
      <c r="F155" s="778" t="s">
        <v>453</v>
      </c>
      <c r="G155" s="785">
        <v>46118.5625</v>
      </c>
      <c r="H155" s="778" t="s">
        <v>202</v>
      </c>
      <c r="I155" s="780">
        <v>1.0</v>
      </c>
      <c r="J155" s="781">
        <v>25000.0</v>
      </c>
      <c r="K155" s="783"/>
      <c r="L155" s="783"/>
      <c r="M155" s="783"/>
      <c r="N155" s="783"/>
      <c r="O155" s="783"/>
      <c r="P155" s="783"/>
      <c r="Q155" s="783"/>
      <c r="R155" s="783"/>
      <c r="S155" s="783"/>
      <c r="T155" s="783"/>
      <c r="U155" s="783"/>
      <c r="V155" s="783"/>
      <c r="W155" s="783"/>
      <c r="X155" s="783"/>
      <c r="Y155" s="783"/>
      <c r="Z155" s="783"/>
      <c r="AA155" s="783"/>
    </row>
    <row r="156">
      <c r="A156" s="778" t="s">
        <v>1542</v>
      </c>
      <c r="B156" s="778" t="s">
        <v>1543</v>
      </c>
      <c r="C156" s="778" t="s">
        <v>1857</v>
      </c>
      <c r="D156" s="778" t="s">
        <v>1685</v>
      </c>
      <c r="E156" s="778" t="s">
        <v>576</v>
      </c>
      <c r="F156" s="778" t="s">
        <v>453</v>
      </c>
      <c r="G156" s="785">
        <v>46119.5625</v>
      </c>
      <c r="H156" s="778" t="s">
        <v>202</v>
      </c>
      <c r="I156" s="780">
        <v>2.0</v>
      </c>
      <c r="J156" s="781">
        <v>50000.0</v>
      </c>
      <c r="K156" s="783"/>
      <c r="L156" s="783"/>
      <c r="M156" s="783"/>
      <c r="N156" s="783"/>
      <c r="O156" s="783"/>
      <c r="P156" s="783"/>
      <c r="Q156" s="783"/>
      <c r="R156" s="783"/>
      <c r="S156" s="783"/>
      <c r="T156" s="783"/>
      <c r="U156" s="783"/>
      <c r="V156" s="783"/>
      <c r="W156" s="783"/>
      <c r="X156" s="783"/>
      <c r="Y156" s="783"/>
      <c r="Z156" s="783"/>
      <c r="AA156" s="783"/>
    </row>
    <row r="157">
      <c r="A157" s="778" t="s">
        <v>1542</v>
      </c>
      <c r="B157" s="778" t="s">
        <v>1543</v>
      </c>
      <c r="C157" s="778" t="s">
        <v>1858</v>
      </c>
      <c r="D157" s="778" t="s">
        <v>1685</v>
      </c>
      <c r="E157" s="778" t="s">
        <v>1106</v>
      </c>
      <c r="F157" s="778" t="s">
        <v>1685</v>
      </c>
      <c r="G157" s="785">
        <v>46120.583333333336</v>
      </c>
      <c r="H157" s="778" t="s">
        <v>202</v>
      </c>
      <c r="I157" s="780">
        <v>1.0</v>
      </c>
      <c r="J157" s="781">
        <v>25000.0</v>
      </c>
      <c r="K157" s="783"/>
      <c r="L157" s="783"/>
      <c r="M157" s="783"/>
      <c r="N157" s="783"/>
      <c r="O157" s="783"/>
      <c r="P157" s="783"/>
      <c r="Q157" s="783"/>
      <c r="R157" s="783"/>
      <c r="S157" s="783"/>
      <c r="T157" s="783"/>
      <c r="U157" s="783"/>
      <c r="V157" s="783"/>
      <c r="W157" s="783"/>
      <c r="X157" s="783"/>
      <c r="Y157" s="783"/>
      <c r="Z157" s="783"/>
      <c r="AA157" s="783"/>
    </row>
    <row r="158">
      <c r="A158" s="778" t="s">
        <v>1542</v>
      </c>
      <c r="B158" s="778" t="s">
        <v>1543</v>
      </c>
      <c r="C158" s="778" t="s">
        <v>1859</v>
      </c>
      <c r="D158" s="778" t="s">
        <v>1685</v>
      </c>
      <c r="E158" s="778" t="s">
        <v>1102</v>
      </c>
      <c r="F158" s="778" t="s">
        <v>453</v>
      </c>
      <c r="G158" s="785">
        <v>46122.583333333336</v>
      </c>
      <c r="H158" s="778" t="s">
        <v>202</v>
      </c>
      <c r="I158" s="780">
        <v>2.0</v>
      </c>
      <c r="J158" s="781">
        <v>50000.0</v>
      </c>
      <c r="K158" s="783"/>
      <c r="L158" s="783"/>
      <c r="M158" s="783"/>
      <c r="N158" s="783"/>
      <c r="O158" s="783"/>
      <c r="P158" s="783"/>
      <c r="Q158" s="783"/>
      <c r="R158" s="783"/>
      <c r="S158" s="783"/>
      <c r="T158" s="783"/>
      <c r="U158" s="783"/>
      <c r="V158" s="783"/>
      <c r="W158" s="783"/>
      <c r="X158" s="783"/>
      <c r="Y158" s="783"/>
      <c r="Z158" s="783"/>
      <c r="AA158" s="783"/>
    </row>
    <row r="159">
      <c r="A159" s="778" t="s">
        <v>1542</v>
      </c>
      <c r="B159" s="778" t="s">
        <v>1543</v>
      </c>
      <c r="C159" s="778" t="s">
        <v>1860</v>
      </c>
      <c r="D159" s="778" t="s">
        <v>1685</v>
      </c>
      <c r="E159" s="778" t="s">
        <v>1861</v>
      </c>
      <c r="F159" s="778" t="s">
        <v>1862</v>
      </c>
      <c r="G159" s="779" t="s">
        <v>1863</v>
      </c>
      <c r="H159" s="778" t="s">
        <v>202</v>
      </c>
      <c r="I159" s="780">
        <v>3.0</v>
      </c>
      <c r="J159" s="781">
        <v>75000.0</v>
      </c>
      <c r="K159" s="783"/>
      <c r="L159" s="783"/>
      <c r="M159" s="783"/>
      <c r="N159" s="783"/>
      <c r="O159" s="783"/>
      <c r="P159" s="783"/>
      <c r="Q159" s="783"/>
      <c r="R159" s="783"/>
      <c r="S159" s="783"/>
      <c r="T159" s="783"/>
      <c r="U159" s="783"/>
      <c r="V159" s="783"/>
      <c r="W159" s="783"/>
      <c r="X159" s="783"/>
      <c r="Y159" s="783"/>
      <c r="Z159" s="783"/>
      <c r="AA159" s="783"/>
    </row>
    <row r="160">
      <c r="A160" s="778" t="s">
        <v>1542</v>
      </c>
      <c r="B160" s="778" t="s">
        <v>1543</v>
      </c>
      <c r="C160" s="778" t="s">
        <v>1865</v>
      </c>
      <c r="D160" s="778" t="s">
        <v>1685</v>
      </c>
      <c r="E160" s="778" t="s">
        <v>1092</v>
      </c>
      <c r="F160" s="778" t="s">
        <v>449</v>
      </c>
      <c r="G160" s="785">
        <v>46125.475694444445</v>
      </c>
      <c r="H160" s="778" t="s">
        <v>202</v>
      </c>
      <c r="I160" s="780">
        <v>2.0</v>
      </c>
      <c r="J160" s="781">
        <v>50000.0</v>
      </c>
      <c r="K160" s="783"/>
      <c r="L160" s="783"/>
      <c r="M160" s="783"/>
      <c r="N160" s="783"/>
      <c r="O160" s="783"/>
      <c r="P160" s="783"/>
      <c r="Q160" s="783"/>
      <c r="R160" s="783"/>
      <c r="S160" s="783"/>
      <c r="T160" s="783"/>
      <c r="U160" s="783"/>
      <c r="V160" s="783"/>
      <c r="W160" s="783"/>
      <c r="X160" s="783"/>
      <c r="Y160" s="783"/>
      <c r="Z160" s="783"/>
      <c r="AA160" s="783"/>
    </row>
    <row r="161">
      <c r="A161" s="778" t="s">
        <v>1542</v>
      </c>
      <c r="B161" s="778" t="s">
        <v>1543</v>
      </c>
      <c r="C161" s="778" t="s">
        <v>1867</v>
      </c>
      <c r="D161" s="778" t="s">
        <v>1685</v>
      </c>
      <c r="E161" s="778" t="s">
        <v>552</v>
      </c>
      <c r="F161" s="778" t="s">
        <v>453</v>
      </c>
      <c r="G161" s="785">
        <v>46126.5625</v>
      </c>
      <c r="H161" s="778" t="s">
        <v>202</v>
      </c>
      <c r="I161" s="780">
        <v>2.0</v>
      </c>
      <c r="J161" s="781">
        <v>50000.0</v>
      </c>
      <c r="K161" s="783"/>
      <c r="L161" s="783"/>
      <c r="M161" s="783"/>
      <c r="N161" s="783"/>
      <c r="O161" s="783"/>
      <c r="P161" s="783"/>
      <c r="Q161" s="783"/>
      <c r="R161" s="783"/>
      <c r="S161" s="783"/>
      <c r="T161" s="783"/>
      <c r="U161" s="783"/>
      <c r="V161" s="783"/>
      <c r="W161" s="783"/>
      <c r="X161" s="783"/>
      <c r="Y161" s="783"/>
      <c r="Z161" s="783"/>
      <c r="AA161" s="783"/>
    </row>
    <row r="162">
      <c r="A162" s="778" t="s">
        <v>1542</v>
      </c>
      <c r="B162" s="778" t="s">
        <v>1543</v>
      </c>
      <c r="C162" s="778" t="s">
        <v>1868</v>
      </c>
      <c r="D162" s="778" t="s">
        <v>1685</v>
      </c>
      <c r="E162" s="778" t="s">
        <v>1081</v>
      </c>
      <c r="F162" s="778" t="s">
        <v>1685</v>
      </c>
      <c r="G162" s="785">
        <v>46127.5625</v>
      </c>
      <c r="H162" s="778" t="s">
        <v>202</v>
      </c>
      <c r="I162" s="780">
        <v>1.0</v>
      </c>
      <c r="J162" s="781">
        <v>25000.0</v>
      </c>
      <c r="K162" s="783"/>
      <c r="L162" s="783"/>
      <c r="M162" s="783"/>
      <c r="N162" s="783"/>
      <c r="O162" s="783"/>
      <c r="P162" s="783"/>
      <c r="Q162" s="783"/>
      <c r="R162" s="783"/>
      <c r="S162" s="783"/>
      <c r="T162" s="783"/>
      <c r="U162" s="783"/>
      <c r="V162" s="783"/>
      <c r="W162" s="783"/>
      <c r="X162" s="783"/>
      <c r="Y162" s="783"/>
      <c r="Z162" s="783"/>
      <c r="AA162" s="783"/>
    </row>
    <row r="163">
      <c r="A163" s="787" t="s">
        <v>1542</v>
      </c>
      <c r="B163" s="787" t="s">
        <v>1543</v>
      </c>
      <c r="C163" s="787" t="s">
        <v>1869</v>
      </c>
      <c r="D163" s="787" t="s">
        <v>453</v>
      </c>
      <c r="E163" s="787" t="s">
        <v>1870</v>
      </c>
      <c r="F163" s="787" t="s">
        <v>1871</v>
      </c>
      <c r="G163" s="787" t="s">
        <v>1872</v>
      </c>
      <c r="H163" s="788" t="s">
        <v>202</v>
      </c>
      <c r="I163" s="789">
        <v>5.0</v>
      </c>
      <c r="J163" s="790">
        <v>125000.0</v>
      </c>
      <c r="K163" s="331"/>
      <c r="L163" s="331"/>
      <c r="M163" s="331"/>
      <c r="N163" s="331"/>
      <c r="O163" s="331"/>
      <c r="P163" s="331"/>
      <c r="Q163" s="331"/>
      <c r="R163" s="331"/>
      <c r="S163" s="331"/>
      <c r="T163" s="331"/>
      <c r="U163" s="331"/>
      <c r="V163" s="331"/>
      <c r="W163" s="331"/>
      <c r="X163" s="331"/>
      <c r="Y163" s="331"/>
      <c r="Z163" s="331"/>
      <c r="AA163" s="331"/>
    </row>
    <row r="164">
      <c r="A164" s="787" t="s">
        <v>1542</v>
      </c>
      <c r="B164" s="787" t="s">
        <v>1543</v>
      </c>
      <c r="C164" s="787" t="s">
        <v>1875</v>
      </c>
      <c r="D164" s="787" t="s">
        <v>449</v>
      </c>
      <c r="E164" s="787" t="s">
        <v>1876</v>
      </c>
      <c r="F164" s="787" t="s">
        <v>659</v>
      </c>
      <c r="G164" s="787" t="s">
        <v>1877</v>
      </c>
      <c r="H164" s="788" t="s">
        <v>202</v>
      </c>
      <c r="I164" s="789">
        <v>15.0</v>
      </c>
      <c r="J164" s="790">
        <v>375000.0</v>
      </c>
      <c r="K164" s="331"/>
      <c r="L164" s="331"/>
      <c r="M164" s="331"/>
      <c r="N164" s="331"/>
      <c r="O164" s="331"/>
      <c r="P164" s="331"/>
      <c r="Q164" s="331"/>
      <c r="R164" s="331"/>
      <c r="S164" s="331"/>
      <c r="T164" s="331"/>
      <c r="U164" s="331"/>
      <c r="V164" s="331"/>
      <c r="W164" s="331"/>
      <c r="X164" s="331"/>
      <c r="Y164" s="331"/>
      <c r="Z164" s="331"/>
      <c r="AA164" s="331"/>
    </row>
    <row r="165">
      <c r="A165" s="787" t="s">
        <v>1542</v>
      </c>
      <c r="B165" s="787" t="s">
        <v>1543</v>
      </c>
      <c r="C165" s="787" t="s">
        <v>1879</v>
      </c>
      <c r="D165" s="787" t="s">
        <v>1685</v>
      </c>
      <c r="E165" s="787" t="s">
        <v>1880</v>
      </c>
      <c r="F165" s="787" t="s">
        <v>647</v>
      </c>
      <c r="G165" s="787" t="s">
        <v>1881</v>
      </c>
      <c r="H165" s="788" t="s">
        <v>202</v>
      </c>
      <c r="I165" s="789">
        <v>4.0</v>
      </c>
      <c r="J165" s="790">
        <v>100000.0</v>
      </c>
      <c r="K165" s="331"/>
      <c r="L165" s="331"/>
      <c r="M165" s="331"/>
      <c r="N165" s="331"/>
      <c r="O165" s="331"/>
      <c r="P165" s="331"/>
      <c r="Q165" s="331"/>
      <c r="R165" s="331"/>
      <c r="S165" s="331"/>
      <c r="T165" s="331"/>
      <c r="U165" s="331"/>
      <c r="V165" s="331"/>
      <c r="W165" s="331"/>
      <c r="X165" s="331"/>
      <c r="Y165" s="331"/>
      <c r="Z165" s="331"/>
      <c r="AA165" s="331"/>
    </row>
    <row r="166">
      <c r="A166" s="787" t="s">
        <v>1542</v>
      </c>
      <c r="B166" s="787" t="s">
        <v>1543</v>
      </c>
      <c r="C166" s="787" t="s">
        <v>1882</v>
      </c>
      <c r="D166" s="787" t="s">
        <v>1685</v>
      </c>
      <c r="E166" s="787" t="s">
        <v>816</v>
      </c>
      <c r="F166" s="787" t="s">
        <v>669</v>
      </c>
      <c r="G166" s="787" t="s">
        <v>819</v>
      </c>
      <c r="H166" s="788" t="s">
        <v>202</v>
      </c>
      <c r="I166" s="789">
        <v>2.0</v>
      </c>
      <c r="J166" s="790">
        <v>50000.0</v>
      </c>
      <c r="K166" s="792" t="s">
        <v>1883</v>
      </c>
      <c r="L166" s="331"/>
      <c r="M166" s="331"/>
      <c r="N166" s="331"/>
      <c r="O166" s="331"/>
      <c r="P166" s="331"/>
      <c r="Q166" s="331"/>
      <c r="R166" s="331"/>
      <c r="S166" s="331"/>
      <c r="T166" s="331"/>
      <c r="U166" s="331"/>
      <c r="V166" s="331"/>
      <c r="W166" s="331"/>
      <c r="X166" s="331"/>
      <c r="Y166" s="331"/>
      <c r="Z166" s="331"/>
      <c r="AA166" s="331"/>
    </row>
    <row r="167">
      <c r="A167" s="787" t="s">
        <v>1542</v>
      </c>
      <c r="B167" s="787" t="s">
        <v>1543</v>
      </c>
      <c r="C167" s="787" t="s">
        <v>1884</v>
      </c>
      <c r="D167" s="787" t="s">
        <v>1685</v>
      </c>
      <c r="E167" s="787" t="s">
        <v>1885</v>
      </c>
      <c r="F167" s="787" t="s">
        <v>669</v>
      </c>
      <c r="G167" s="787" t="s">
        <v>1886</v>
      </c>
      <c r="H167" s="788" t="s">
        <v>202</v>
      </c>
      <c r="I167" s="789">
        <v>3.0</v>
      </c>
      <c r="J167" s="790">
        <v>75000.0</v>
      </c>
      <c r="K167" s="331"/>
      <c r="L167" s="331"/>
      <c r="M167" s="331"/>
      <c r="N167" s="331"/>
      <c r="O167" s="331"/>
      <c r="P167" s="331"/>
      <c r="Q167" s="331"/>
      <c r="R167" s="331"/>
      <c r="S167" s="331"/>
      <c r="T167" s="331"/>
      <c r="U167" s="331"/>
      <c r="V167" s="331"/>
      <c r="W167" s="331"/>
      <c r="X167" s="331"/>
      <c r="Y167" s="331"/>
      <c r="Z167" s="331"/>
      <c r="AA167" s="331"/>
    </row>
    <row r="168">
      <c r="A168" s="794" t="s">
        <v>1542</v>
      </c>
      <c r="B168" s="794" t="s">
        <v>1543</v>
      </c>
      <c r="C168" s="794" t="s">
        <v>1888</v>
      </c>
      <c r="D168" s="794" t="s">
        <v>1685</v>
      </c>
      <c r="E168" s="794" t="s">
        <v>147</v>
      </c>
      <c r="F168" s="794" t="s">
        <v>659</v>
      </c>
      <c r="G168" s="794" t="s">
        <v>1889</v>
      </c>
      <c r="H168" s="795" t="s">
        <v>202</v>
      </c>
      <c r="I168" s="796">
        <v>2.0</v>
      </c>
      <c r="J168" s="797">
        <v>50000.0</v>
      </c>
      <c r="K168" s="331"/>
      <c r="L168" s="331"/>
      <c r="M168" s="331"/>
      <c r="N168" s="331"/>
      <c r="O168" s="331"/>
      <c r="P168" s="331"/>
      <c r="Q168" s="331"/>
      <c r="R168" s="331"/>
      <c r="S168" s="331"/>
      <c r="T168" s="331"/>
      <c r="U168" s="331"/>
      <c r="V168" s="331"/>
      <c r="W168" s="331"/>
      <c r="X168" s="331"/>
      <c r="Y168" s="331"/>
      <c r="Z168" s="331"/>
      <c r="AA168" s="331"/>
    </row>
    <row r="169">
      <c r="A169" s="787" t="s">
        <v>1542</v>
      </c>
      <c r="B169" s="787" t="s">
        <v>1543</v>
      </c>
      <c r="C169" s="787" t="s">
        <v>1891</v>
      </c>
      <c r="D169" s="787" t="s">
        <v>1685</v>
      </c>
      <c r="E169" s="787" t="s">
        <v>1892</v>
      </c>
      <c r="F169" s="787" t="s">
        <v>647</v>
      </c>
      <c r="G169" s="787" t="s">
        <v>1893</v>
      </c>
      <c r="H169" s="788" t="s">
        <v>202</v>
      </c>
      <c r="I169" s="789">
        <v>2.0</v>
      </c>
      <c r="J169" s="790">
        <v>50000.0</v>
      </c>
      <c r="K169" s="331"/>
      <c r="L169" s="331"/>
      <c r="M169" s="331"/>
      <c r="N169" s="331"/>
      <c r="O169" s="331"/>
      <c r="P169" s="331"/>
      <c r="Q169" s="331"/>
      <c r="R169" s="331"/>
      <c r="S169" s="331"/>
      <c r="T169" s="331"/>
      <c r="U169" s="331"/>
      <c r="V169" s="331"/>
      <c r="W169" s="331"/>
      <c r="X169" s="331"/>
      <c r="Y169" s="331"/>
      <c r="Z169" s="331"/>
      <c r="AA169" s="331"/>
    </row>
    <row r="170">
      <c r="A170" s="787" t="s">
        <v>1542</v>
      </c>
      <c r="B170" s="787" t="s">
        <v>1543</v>
      </c>
      <c r="C170" s="787" t="s">
        <v>1895</v>
      </c>
      <c r="D170" s="787" t="s">
        <v>1685</v>
      </c>
      <c r="E170" s="787" t="s">
        <v>1896</v>
      </c>
      <c r="F170" s="787" t="s">
        <v>1897</v>
      </c>
      <c r="G170" s="787" t="s">
        <v>1898</v>
      </c>
      <c r="H170" s="788" t="s">
        <v>202</v>
      </c>
      <c r="I170" s="789">
        <v>4.0</v>
      </c>
      <c r="J170" s="790">
        <v>100000.0</v>
      </c>
      <c r="K170" s="331"/>
      <c r="L170" s="331"/>
      <c r="M170" s="331"/>
      <c r="N170" s="331"/>
      <c r="O170" s="331"/>
      <c r="P170" s="331"/>
      <c r="Q170" s="331"/>
      <c r="R170" s="331"/>
      <c r="S170" s="331"/>
      <c r="T170" s="331"/>
      <c r="U170" s="331"/>
      <c r="V170" s="331"/>
      <c r="W170" s="331"/>
      <c r="X170" s="331"/>
      <c r="Y170" s="331"/>
      <c r="Z170" s="331"/>
      <c r="AA170" s="331"/>
    </row>
    <row r="171">
      <c r="A171" s="31"/>
      <c r="B171" s="446"/>
      <c r="C171" s="31"/>
      <c r="D171" s="331"/>
      <c r="E171" s="331"/>
      <c r="F171" s="331"/>
      <c r="G171" s="595"/>
      <c r="I171" s="89"/>
    </row>
    <row r="172">
      <c r="A172" s="31"/>
      <c r="B172" s="446"/>
      <c r="C172" s="31"/>
      <c r="D172" s="331"/>
      <c r="E172" s="331"/>
      <c r="F172" s="331"/>
      <c r="G172" s="595"/>
      <c r="I172" s="89"/>
    </row>
    <row r="173">
      <c r="A173" s="31"/>
      <c r="B173" s="446"/>
      <c r="C173" s="31"/>
      <c r="D173" s="331"/>
      <c r="E173" s="331"/>
      <c r="F173" s="331"/>
      <c r="G173" s="595"/>
      <c r="I173" s="89"/>
    </row>
    <row r="174">
      <c r="A174" s="31"/>
      <c r="B174" s="446"/>
      <c r="C174" s="31"/>
      <c r="D174" s="331"/>
      <c r="E174" s="331"/>
      <c r="F174" s="331"/>
      <c r="G174" s="595"/>
      <c r="I174" s="89"/>
    </row>
    <row r="175">
      <c r="A175" s="31"/>
      <c r="B175" s="446"/>
      <c r="C175" s="31"/>
      <c r="D175" s="331"/>
      <c r="E175" s="331"/>
      <c r="F175" s="331"/>
      <c r="G175" s="595"/>
      <c r="I175" s="89"/>
    </row>
    <row r="176">
      <c r="A176" s="31"/>
      <c r="B176" s="446"/>
      <c r="C176" s="31"/>
      <c r="D176" s="331"/>
      <c r="E176" s="331"/>
      <c r="F176" s="331"/>
      <c r="G176" s="595"/>
      <c r="I176" s="89"/>
    </row>
    <row r="177">
      <c r="A177" s="31"/>
      <c r="B177" s="446"/>
      <c r="C177" s="31"/>
      <c r="D177" s="331"/>
      <c r="E177" s="331"/>
      <c r="F177" s="331"/>
      <c r="G177" s="595"/>
      <c r="I177" s="89"/>
    </row>
    <row r="178">
      <c r="A178" s="31"/>
      <c r="B178" s="446"/>
      <c r="C178" s="31"/>
      <c r="D178" s="331"/>
      <c r="E178" s="331"/>
      <c r="F178" s="331"/>
      <c r="G178" s="595"/>
      <c r="I178" s="89"/>
    </row>
    <row r="179">
      <c r="A179" s="31"/>
      <c r="B179" s="738" t="s">
        <v>1900</v>
      </c>
      <c r="C179" s="6"/>
      <c r="D179" s="606">
        <f>E144+D181</f>
        <v>2598000</v>
      </c>
      <c r="E179" s="600"/>
      <c r="F179" s="608" t="s">
        <v>1535</v>
      </c>
      <c r="G179" s="595"/>
      <c r="I179" s="89"/>
    </row>
    <row r="180">
      <c r="A180" s="31"/>
      <c r="B180" s="722" t="s">
        <v>1903</v>
      </c>
      <c r="C180" s="6"/>
      <c r="D180" s="769">
        <f>J149+J150+J151+J152+J153+J154+J155+J156+J157+J158+J159+J160+J161+J162+J169+J166+J167+J165+J170+J163+J164+J168</f>
        <v>1975000</v>
      </c>
      <c r="E180" s="617">
        <f>D179-D180</f>
        <v>623000</v>
      </c>
      <c r="F180" s="618">
        <f>E180/25000</f>
        <v>24.92</v>
      </c>
      <c r="G180" s="799"/>
      <c r="I180" s="89"/>
    </row>
    <row r="181">
      <c r="A181" s="31"/>
      <c r="B181" s="800" t="s">
        <v>1907</v>
      </c>
      <c r="C181" s="6"/>
      <c r="D181" s="743">
        <v>2500000.0</v>
      </c>
      <c r="E181" s="600"/>
      <c r="F181" s="600"/>
      <c r="G181" s="595"/>
      <c r="I181" s="89"/>
    </row>
    <row r="182">
      <c r="A182" s="31"/>
      <c r="B182" s="446"/>
      <c r="C182" s="31"/>
      <c r="D182" s="331"/>
      <c r="E182" s="331"/>
      <c r="F182" s="331"/>
      <c r="G182" s="595"/>
      <c r="I182" s="89"/>
    </row>
    <row r="183">
      <c r="A183" s="31"/>
      <c r="B183" s="446"/>
      <c r="C183" s="31"/>
      <c r="D183" s="331"/>
      <c r="E183" s="331"/>
      <c r="F183" s="331"/>
      <c r="G183" s="595"/>
      <c r="I183" s="89"/>
    </row>
    <row r="184">
      <c r="A184" s="31"/>
      <c r="B184" s="446"/>
      <c r="C184" s="31"/>
      <c r="D184" s="331"/>
      <c r="E184" s="331"/>
      <c r="F184" s="331"/>
      <c r="G184" s="595"/>
      <c r="I184" s="89"/>
    </row>
    <row r="185">
      <c r="A185" s="31"/>
      <c r="B185" s="446"/>
      <c r="C185" s="31"/>
      <c r="D185" s="331"/>
      <c r="E185" s="331"/>
      <c r="F185" s="331"/>
      <c r="G185" s="595"/>
      <c r="I185" s="89"/>
    </row>
    <row r="186">
      <c r="A186" s="117" t="s">
        <v>153</v>
      </c>
      <c r="B186" s="117" t="s">
        <v>439</v>
      </c>
      <c r="C186" s="117" t="s">
        <v>157</v>
      </c>
      <c r="D186" s="117" t="s">
        <v>1539</v>
      </c>
      <c r="E186" s="117" t="s">
        <v>163</v>
      </c>
      <c r="F186" s="117" t="s">
        <v>440</v>
      </c>
      <c r="G186" s="621" t="s">
        <v>164</v>
      </c>
      <c r="H186" s="117" t="s">
        <v>167</v>
      </c>
      <c r="I186" s="117" t="s">
        <v>1541</v>
      </c>
      <c r="J186" s="622" t="s">
        <v>442</v>
      </c>
    </row>
    <row r="187">
      <c r="A187" s="788" t="s">
        <v>1542</v>
      </c>
      <c r="B187" s="788" t="s">
        <v>1543</v>
      </c>
      <c r="C187" s="788" t="s">
        <v>1908</v>
      </c>
      <c r="D187" s="788" t="s">
        <v>1685</v>
      </c>
      <c r="E187" s="801" t="s">
        <v>130</v>
      </c>
      <c r="F187" s="788" t="s">
        <v>449</v>
      </c>
      <c r="G187" s="802">
        <v>46157.541666666664</v>
      </c>
      <c r="H187" s="803" t="s">
        <v>202</v>
      </c>
      <c r="I187" s="803">
        <v>2.0</v>
      </c>
      <c r="J187" s="805">
        <v>50000.0</v>
      </c>
    </row>
    <row r="188">
      <c r="A188" s="788" t="s">
        <v>1542</v>
      </c>
      <c r="B188" s="788" t="s">
        <v>1543</v>
      </c>
      <c r="C188" s="788" t="s">
        <v>1909</v>
      </c>
      <c r="D188" s="788" t="s">
        <v>453</v>
      </c>
      <c r="E188" s="801" t="s">
        <v>1910</v>
      </c>
      <c r="F188" s="788" t="s">
        <v>1614</v>
      </c>
      <c r="G188" s="808" t="s">
        <v>1912</v>
      </c>
      <c r="H188" s="803" t="s">
        <v>202</v>
      </c>
      <c r="I188" s="803">
        <v>4.0</v>
      </c>
      <c r="J188" s="805">
        <v>100000.0</v>
      </c>
    </row>
    <row r="189">
      <c r="A189" s="788" t="s">
        <v>1542</v>
      </c>
      <c r="B189" s="788" t="s">
        <v>1543</v>
      </c>
      <c r="C189" s="788" t="s">
        <v>1913</v>
      </c>
      <c r="D189" s="788" t="s">
        <v>1685</v>
      </c>
      <c r="E189" s="801" t="s">
        <v>1914</v>
      </c>
      <c r="F189" s="788" t="s">
        <v>1915</v>
      </c>
      <c r="G189" s="808" t="s">
        <v>1916</v>
      </c>
      <c r="H189" s="803" t="s">
        <v>202</v>
      </c>
      <c r="I189" s="803">
        <v>4.0</v>
      </c>
      <c r="J189" s="805">
        <v>100000.0</v>
      </c>
    </row>
    <row r="190">
      <c r="A190" s="788" t="s">
        <v>1542</v>
      </c>
      <c r="B190" s="788" t="s">
        <v>1543</v>
      </c>
      <c r="C190" s="788" t="s">
        <v>1918</v>
      </c>
      <c r="D190" s="788" t="s">
        <v>1685</v>
      </c>
      <c r="E190" s="801" t="s">
        <v>1919</v>
      </c>
      <c r="F190" s="788" t="s">
        <v>1614</v>
      </c>
      <c r="G190" s="808" t="s">
        <v>1920</v>
      </c>
      <c r="H190" s="803" t="s">
        <v>202</v>
      </c>
      <c r="I190" s="803">
        <v>7.0</v>
      </c>
      <c r="J190" s="805">
        <v>175000.0</v>
      </c>
    </row>
    <row r="191">
      <c r="A191" s="788" t="s">
        <v>1542</v>
      </c>
      <c r="B191" s="788" t="s">
        <v>1543</v>
      </c>
      <c r="C191" s="788" t="s">
        <v>1921</v>
      </c>
      <c r="D191" s="788" t="s">
        <v>449</v>
      </c>
      <c r="E191" s="801" t="s">
        <v>198</v>
      </c>
      <c r="F191" s="788" t="s">
        <v>453</v>
      </c>
      <c r="G191" s="802">
        <v>46143.5625</v>
      </c>
      <c r="H191" s="803" t="s">
        <v>202</v>
      </c>
      <c r="I191" s="803">
        <v>2.0</v>
      </c>
      <c r="J191" s="805">
        <v>50000.0</v>
      </c>
    </row>
    <row r="192">
      <c r="A192" s="149" t="s">
        <v>1542</v>
      </c>
      <c r="B192" s="149" t="s">
        <v>1543</v>
      </c>
      <c r="C192" s="149" t="s">
        <v>1922</v>
      </c>
      <c r="D192" s="149" t="s">
        <v>449</v>
      </c>
      <c r="E192" s="809" t="s">
        <v>20</v>
      </c>
      <c r="F192" s="149" t="s">
        <v>449</v>
      </c>
      <c r="G192" s="811">
        <v>46145.5625</v>
      </c>
      <c r="H192" s="812" t="s">
        <v>202</v>
      </c>
      <c r="I192" s="812">
        <v>2.0</v>
      </c>
      <c r="J192" s="813">
        <v>50000.0</v>
      </c>
    </row>
    <row r="193">
      <c r="A193" s="788" t="s">
        <v>1542</v>
      </c>
      <c r="B193" s="788" t="s">
        <v>1543</v>
      </c>
      <c r="C193" s="788" t="s">
        <v>1923</v>
      </c>
      <c r="D193" s="788" t="s">
        <v>449</v>
      </c>
      <c r="E193" s="801" t="s">
        <v>1924</v>
      </c>
      <c r="F193" s="788" t="s">
        <v>1915</v>
      </c>
      <c r="G193" s="808" t="s">
        <v>1925</v>
      </c>
      <c r="H193" s="803" t="s">
        <v>202</v>
      </c>
      <c r="I193" s="803">
        <v>7.0</v>
      </c>
      <c r="J193" s="805">
        <v>175000.0</v>
      </c>
    </row>
    <row r="194">
      <c r="A194" s="788" t="s">
        <v>1542</v>
      </c>
      <c r="B194" s="788" t="s">
        <v>1543</v>
      </c>
      <c r="C194" s="788" t="s">
        <v>1927</v>
      </c>
      <c r="D194" s="788" t="s">
        <v>1685</v>
      </c>
      <c r="E194" s="801" t="s">
        <v>1266</v>
      </c>
      <c r="F194" s="788" t="s">
        <v>453</v>
      </c>
      <c r="G194" s="802">
        <v>46157.583333333336</v>
      </c>
      <c r="H194" s="803" t="s">
        <v>202</v>
      </c>
      <c r="I194" s="803">
        <v>2.0</v>
      </c>
      <c r="J194" s="805">
        <v>50000.0</v>
      </c>
    </row>
    <row r="195">
      <c r="A195" s="654" t="s">
        <v>1542</v>
      </c>
      <c r="B195" s="654" t="s">
        <v>1543</v>
      </c>
      <c r="C195" s="654" t="s">
        <v>1928</v>
      </c>
      <c r="D195" s="654" t="s">
        <v>449</v>
      </c>
      <c r="E195" s="652" t="s">
        <v>1929</v>
      </c>
      <c r="F195" s="654" t="s">
        <v>1614</v>
      </c>
      <c r="G195" s="734" t="s">
        <v>1930</v>
      </c>
      <c r="H195" s="659" t="s">
        <v>202</v>
      </c>
      <c r="I195" s="659">
        <v>4.0</v>
      </c>
      <c r="J195" s="815">
        <v>100000.0</v>
      </c>
    </row>
    <row r="196">
      <c r="A196" s="654" t="s">
        <v>1542</v>
      </c>
      <c r="B196" s="654" t="s">
        <v>1543</v>
      </c>
      <c r="C196" s="654" t="s">
        <v>1931</v>
      </c>
      <c r="D196" s="654" t="s">
        <v>449</v>
      </c>
      <c r="E196" s="652" t="s">
        <v>323</v>
      </c>
      <c r="F196" s="654" t="s">
        <v>453</v>
      </c>
      <c r="G196" s="730">
        <v>46160.583333333336</v>
      </c>
      <c r="H196" s="659" t="s">
        <v>202</v>
      </c>
      <c r="I196" s="659">
        <v>2.0</v>
      </c>
      <c r="J196" s="815">
        <v>40000.0</v>
      </c>
    </row>
    <row r="197">
      <c r="A197" s="816" t="s">
        <v>1542</v>
      </c>
      <c r="B197" s="817" t="s">
        <v>1543</v>
      </c>
      <c r="C197" s="816" t="s">
        <v>1934</v>
      </c>
      <c r="D197" s="817" t="s">
        <v>453</v>
      </c>
      <c r="E197" s="816" t="s">
        <v>1935</v>
      </c>
      <c r="F197" s="816" t="s">
        <v>1897</v>
      </c>
      <c r="G197" s="816" t="s">
        <v>1936</v>
      </c>
      <c r="H197" s="818" t="s">
        <v>202</v>
      </c>
      <c r="I197" s="819">
        <v>4.0</v>
      </c>
      <c r="J197" s="820">
        <v>100000.0</v>
      </c>
      <c r="K197" s="51"/>
      <c r="L197" s="51"/>
      <c r="M197" s="51"/>
      <c r="N197" s="51"/>
      <c r="O197" s="51"/>
      <c r="P197" s="51"/>
      <c r="Q197" s="51"/>
      <c r="R197" s="51"/>
      <c r="S197" s="51"/>
      <c r="T197" s="51"/>
      <c r="U197" s="51"/>
      <c r="V197" s="51"/>
      <c r="W197" s="51"/>
      <c r="X197" s="51"/>
      <c r="Y197" s="51"/>
      <c r="Z197" s="51"/>
      <c r="AA197" s="51"/>
    </row>
    <row r="198">
      <c r="A198" s="816" t="s">
        <v>1542</v>
      </c>
      <c r="B198" s="817" t="s">
        <v>1543</v>
      </c>
      <c r="C198" s="816" t="s">
        <v>1938</v>
      </c>
      <c r="D198" s="817" t="s">
        <v>1685</v>
      </c>
      <c r="E198" s="816" t="s">
        <v>444</v>
      </c>
      <c r="F198" s="816" t="s">
        <v>669</v>
      </c>
      <c r="G198" s="816" t="s">
        <v>883</v>
      </c>
      <c r="H198" s="818" t="s">
        <v>202</v>
      </c>
      <c r="I198" s="819">
        <v>2.0</v>
      </c>
      <c r="J198" s="820">
        <v>50000.0</v>
      </c>
      <c r="K198" s="51"/>
      <c r="L198" s="51"/>
      <c r="M198" s="51"/>
      <c r="N198" s="51"/>
      <c r="O198" s="51"/>
      <c r="P198" s="51"/>
      <c r="Q198" s="51"/>
      <c r="R198" s="51"/>
      <c r="S198" s="51"/>
      <c r="T198" s="51"/>
      <c r="U198" s="51"/>
      <c r="V198" s="51"/>
      <c r="W198" s="51"/>
      <c r="X198" s="51"/>
      <c r="Y198" s="51"/>
      <c r="Z198" s="51"/>
      <c r="AA198" s="51"/>
    </row>
    <row r="199">
      <c r="A199" s="644" t="s">
        <v>1542</v>
      </c>
      <c r="B199" s="645" t="s">
        <v>1543</v>
      </c>
      <c r="C199" s="644" t="s">
        <v>1939</v>
      </c>
      <c r="D199" s="645" t="s">
        <v>449</v>
      </c>
      <c r="E199" s="644" t="s">
        <v>913</v>
      </c>
      <c r="F199" s="644" t="s">
        <v>669</v>
      </c>
      <c r="G199" s="644" t="s">
        <v>915</v>
      </c>
      <c r="H199" s="659" t="s">
        <v>202</v>
      </c>
      <c r="I199" s="648">
        <v>2.0</v>
      </c>
      <c r="J199" s="821">
        <v>50000.0</v>
      </c>
      <c r="K199" s="51"/>
      <c r="L199" s="51"/>
      <c r="M199" s="51"/>
      <c r="N199" s="51"/>
      <c r="O199" s="51"/>
      <c r="P199" s="51"/>
      <c r="Q199" s="51"/>
      <c r="R199" s="51"/>
      <c r="S199" s="51"/>
      <c r="T199" s="51"/>
      <c r="U199" s="51"/>
      <c r="V199" s="51"/>
      <c r="W199" s="51"/>
      <c r="X199" s="51"/>
      <c r="Y199" s="51"/>
      <c r="Z199" s="51"/>
      <c r="AA199" s="51"/>
    </row>
    <row r="200">
      <c r="A200" s="644" t="s">
        <v>1542</v>
      </c>
      <c r="B200" s="645" t="s">
        <v>1543</v>
      </c>
      <c r="C200" s="644" t="s">
        <v>1942</v>
      </c>
      <c r="D200" s="645" t="s">
        <v>449</v>
      </c>
      <c r="E200" s="644" t="s">
        <v>917</v>
      </c>
      <c r="F200" s="644" t="s">
        <v>659</v>
      </c>
      <c r="G200" s="644" t="s">
        <v>1943</v>
      </c>
      <c r="H200" s="659" t="s">
        <v>202</v>
      </c>
      <c r="I200" s="648">
        <v>2.0</v>
      </c>
      <c r="J200" s="821">
        <v>50000.0</v>
      </c>
      <c r="K200" s="51"/>
      <c r="L200" s="51"/>
      <c r="M200" s="51"/>
      <c r="N200" s="51"/>
      <c r="O200" s="51"/>
      <c r="P200" s="51"/>
      <c r="Q200" s="51"/>
      <c r="R200" s="51"/>
      <c r="S200" s="51"/>
      <c r="T200" s="51"/>
      <c r="U200" s="51"/>
      <c r="V200" s="51"/>
      <c r="W200" s="51"/>
      <c r="X200" s="51"/>
      <c r="Y200" s="51"/>
      <c r="Z200" s="51"/>
      <c r="AA200" s="51"/>
    </row>
    <row r="201">
      <c r="A201" s="816" t="s">
        <v>1542</v>
      </c>
      <c r="B201" s="817" t="s">
        <v>1543</v>
      </c>
      <c r="C201" s="816" t="s">
        <v>1945</v>
      </c>
      <c r="D201" s="817" t="s">
        <v>449</v>
      </c>
      <c r="E201" s="816" t="s">
        <v>472</v>
      </c>
      <c r="F201" s="816" t="s">
        <v>659</v>
      </c>
      <c r="G201" s="816" t="s">
        <v>921</v>
      </c>
      <c r="H201" s="818" t="s">
        <v>202</v>
      </c>
      <c r="I201" s="819">
        <v>1.0</v>
      </c>
      <c r="J201" s="820">
        <v>25000.0</v>
      </c>
      <c r="K201" s="51"/>
      <c r="L201" s="51"/>
      <c r="M201" s="51"/>
      <c r="N201" s="51"/>
      <c r="O201" s="51"/>
      <c r="P201" s="51"/>
      <c r="Q201" s="51"/>
      <c r="R201" s="51"/>
      <c r="S201" s="51"/>
      <c r="T201" s="51"/>
      <c r="U201" s="51"/>
      <c r="V201" s="51"/>
      <c r="W201" s="51"/>
      <c r="X201" s="51"/>
      <c r="Y201" s="51"/>
      <c r="Z201" s="51"/>
      <c r="AA201" s="51"/>
    </row>
    <row r="202">
      <c r="A202" s="31"/>
      <c r="B202" s="446"/>
      <c r="C202" s="31"/>
      <c r="D202" s="331"/>
      <c r="E202" s="331"/>
      <c r="F202" s="331"/>
      <c r="G202" s="595"/>
      <c r="I202" s="89"/>
    </row>
    <row r="203">
      <c r="A203" s="31"/>
      <c r="B203" s="738" t="s">
        <v>1946</v>
      </c>
      <c r="C203" s="6"/>
      <c r="D203" s="606">
        <f>E180+D205</f>
        <v>3123000</v>
      </c>
      <c r="E203" s="600"/>
      <c r="F203" s="608" t="s">
        <v>1535</v>
      </c>
      <c r="G203" s="595"/>
      <c r="I203" s="89"/>
    </row>
    <row r="204">
      <c r="A204" s="31"/>
      <c r="B204" s="722" t="s">
        <v>1948</v>
      </c>
      <c r="C204" s="6"/>
      <c r="D204" s="769">
        <f>J191+J188+J190+J189+J193+J194+J187+J195+J196+J197+J198+J199+J200+J201</f>
        <v>1115000</v>
      </c>
      <c r="E204" s="617">
        <f>D203-D204</f>
        <v>2008000</v>
      </c>
      <c r="F204" s="618">
        <f>E204/25000</f>
        <v>80.32</v>
      </c>
      <c r="G204" s="799"/>
      <c r="I204" s="89"/>
    </row>
    <row r="205">
      <c r="A205" s="31"/>
      <c r="B205" s="824" t="s">
        <v>1952</v>
      </c>
      <c r="C205" s="6"/>
      <c r="D205" s="743">
        <v>2500000.0</v>
      </c>
      <c r="E205" s="600"/>
      <c r="F205" s="600"/>
      <c r="G205" s="595"/>
      <c r="I205" s="89"/>
    </row>
    <row r="206">
      <c r="A206" s="31"/>
      <c r="B206" s="446"/>
      <c r="C206" s="31"/>
      <c r="D206" s="331"/>
      <c r="E206" s="331"/>
      <c r="F206" s="331"/>
      <c r="G206" s="595"/>
      <c r="I206" s="89"/>
    </row>
    <row r="207">
      <c r="A207" s="31"/>
      <c r="B207" s="446"/>
      <c r="C207" s="31"/>
      <c r="D207" s="331"/>
      <c r="E207" s="331"/>
      <c r="F207" s="331"/>
      <c r="G207" s="595"/>
      <c r="I207" s="89"/>
    </row>
    <row r="208">
      <c r="A208" s="31"/>
      <c r="B208" s="446"/>
      <c r="C208" s="31"/>
      <c r="D208" s="331"/>
      <c r="E208" s="331"/>
      <c r="F208" s="331"/>
      <c r="G208" s="595"/>
      <c r="I208" s="89"/>
    </row>
    <row r="209">
      <c r="A209" s="31"/>
      <c r="B209" s="446"/>
      <c r="C209" s="31"/>
      <c r="D209" s="331"/>
      <c r="E209" s="331"/>
      <c r="F209" s="331"/>
      <c r="G209" s="595"/>
      <c r="I209" s="89"/>
    </row>
    <row r="210">
      <c r="A210" s="31"/>
      <c r="B210" s="446"/>
      <c r="C210" s="31"/>
      <c r="D210" s="331"/>
      <c r="E210" s="331"/>
      <c r="F210" s="331"/>
      <c r="G210" s="595"/>
      <c r="I210" s="89"/>
    </row>
    <row r="211">
      <c r="A211" s="117" t="s">
        <v>153</v>
      </c>
      <c r="B211" s="117" t="s">
        <v>439</v>
      </c>
      <c r="C211" s="117" t="s">
        <v>157</v>
      </c>
      <c r="D211" s="117" t="s">
        <v>1539</v>
      </c>
      <c r="E211" s="117" t="s">
        <v>163</v>
      </c>
      <c r="F211" s="117" t="s">
        <v>440</v>
      </c>
      <c r="G211" s="621" t="s">
        <v>164</v>
      </c>
      <c r="H211" s="117" t="s">
        <v>167</v>
      </c>
      <c r="I211" s="117" t="s">
        <v>1541</v>
      </c>
      <c r="J211" s="622" t="s">
        <v>442</v>
      </c>
    </row>
    <row r="212">
      <c r="A212" s="816" t="s">
        <v>1542</v>
      </c>
      <c r="B212" s="817" t="s">
        <v>1543</v>
      </c>
      <c r="C212" s="816" t="s">
        <v>1956</v>
      </c>
      <c r="D212" s="816"/>
      <c r="E212" s="816" t="s">
        <v>945</v>
      </c>
      <c r="F212" s="827"/>
      <c r="G212" s="817" t="s">
        <v>947</v>
      </c>
      <c r="H212" s="819" t="s">
        <v>202</v>
      </c>
      <c r="I212" s="828">
        <v>2.0</v>
      </c>
      <c r="J212" s="820">
        <v>50000.0</v>
      </c>
    </row>
    <row r="213">
      <c r="A213" s="816" t="s">
        <v>1542</v>
      </c>
      <c r="B213" s="817" t="s">
        <v>1543</v>
      </c>
      <c r="C213" s="816" t="s">
        <v>1958</v>
      </c>
      <c r="D213" s="816"/>
      <c r="E213" s="816" t="s">
        <v>515</v>
      </c>
      <c r="F213" s="827"/>
      <c r="G213" s="817" t="s">
        <v>1959</v>
      </c>
      <c r="H213" s="819" t="s">
        <v>202</v>
      </c>
      <c r="I213" s="828">
        <v>2.0</v>
      </c>
      <c r="J213" s="820">
        <v>50000.0</v>
      </c>
    </row>
    <row r="214">
      <c r="A214" s="816" t="s">
        <v>1542</v>
      </c>
      <c r="B214" s="817" t="s">
        <v>1543</v>
      </c>
      <c r="C214" s="816" t="s">
        <v>1960</v>
      </c>
      <c r="D214" s="816"/>
      <c r="E214" s="816" t="s">
        <v>1385</v>
      </c>
      <c r="F214" s="827"/>
      <c r="G214" s="817" t="s">
        <v>1961</v>
      </c>
      <c r="H214" s="819" t="s">
        <v>202</v>
      </c>
      <c r="I214" s="828">
        <v>2.0</v>
      </c>
      <c r="J214" s="820">
        <v>50000.0</v>
      </c>
    </row>
    <row r="215">
      <c r="A215" s="644" t="s">
        <v>1542</v>
      </c>
      <c r="B215" s="645" t="s">
        <v>1543</v>
      </c>
      <c r="C215" s="644" t="s">
        <v>1963</v>
      </c>
      <c r="D215" s="644"/>
      <c r="E215" s="644" t="s">
        <v>81</v>
      </c>
      <c r="F215" s="829"/>
      <c r="G215" s="645" t="s">
        <v>1964</v>
      </c>
      <c r="H215" s="648" t="s">
        <v>202</v>
      </c>
      <c r="I215" s="830">
        <v>6.0</v>
      </c>
      <c r="J215" s="821">
        <v>150000.0</v>
      </c>
    </row>
    <row r="216">
      <c r="A216" s="644" t="s">
        <v>1542</v>
      </c>
      <c r="B216" s="645" t="s">
        <v>1543</v>
      </c>
      <c r="C216" s="644" t="s">
        <v>1965</v>
      </c>
      <c r="D216" s="644"/>
      <c r="E216" s="644" t="s">
        <v>495</v>
      </c>
      <c r="F216" s="829"/>
      <c r="G216" s="645" t="s">
        <v>966</v>
      </c>
      <c r="H216" s="648" t="s">
        <v>202</v>
      </c>
      <c r="I216" s="830">
        <v>2.0</v>
      </c>
      <c r="J216" s="821">
        <v>50000.0</v>
      </c>
    </row>
    <row r="217">
      <c r="A217" s="816" t="s">
        <v>1542</v>
      </c>
      <c r="B217" s="817" t="s">
        <v>1543</v>
      </c>
      <c r="C217" s="816" t="s">
        <v>1967</v>
      </c>
      <c r="D217" s="816"/>
      <c r="E217" s="816" t="s">
        <v>1400</v>
      </c>
      <c r="F217" s="827"/>
      <c r="G217" s="817" t="s">
        <v>1968</v>
      </c>
      <c r="H217" s="819" t="s">
        <v>202</v>
      </c>
      <c r="I217" s="828">
        <v>2.0</v>
      </c>
      <c r="J217" s="820">
        <v>50000.0</v>
      </c>
    </row>
    <row r="218">
      <c r="A218" s="644" t="s">
        <v>1542</v>
      </c>
      <c r="B218" s="645" t="s">
        <v>1543</v>
      </c>
      <c r="C218" s="644" t="s">
        <v>1969</v>
      </c>
      <c r="D218" s="644" t="s">
        <v>449</v>
      </c>
      <c r="E218" s="644" t="s">
        <v>960</v>
      </c>
      <c r="F218" s="644" t="s">
        <v>669</v>
      </c>
      <c r="G218" s="644" t="s">
        <v>961</v>
      </c>
      <c r="H218" s="648" t="s">
        <v>202</v>
      </c>
      <c r="I218" s="648">
        <v>2.0</v>
      </c>
      <c r="J218" s="821">
        <v>50000.0</v>
      </c>
      <c r="K218" s="31"/>
      <c r="L218" s="31"/>
      <c r="M218" s="31"/>
      <c r="N218" s="31"/>
      <c r="O218" s="31"/>
      <c r="P218" s="31"/>
      <c r="Q218" s="31"/>
      <c r="R218" s="31"/>
      <c r="S218" s="31"/>
      <c r="T218" s="31"/>
      <c r="U218" s="31"/>
      <c r="V218" s="31"/>
      <c r="W218" s="31"/>
      <c r="X218" s="31"/>
      <c r="Y218" s="31"/>
      <c r="Z218" s="31"/>
      <c r="AA218" s="31"/>
    </row>
    <row r="219">
      <c r="A219" s="31"/>
      <c r="B219" s="446"/>
      <c r="C219" s="31"/>
      <c r="D219" s="331"/>
      <c r="E219" s="331"/>
      <c r="F219" s="331"/>
      <c r="G219" s="595"/>
      <c r="I219" s="89"/>
    </row>
    <row r="220">
      <c r="A220" s="31"/>
      <c r="B220" s="446"/>
      <c r="C220" s="31"/>
      <c r="D220" s="331"/>
      <c r="E220" s="331"/>
      <c r="F220" s="331"/>
      <c r="G220" s="595"/>
      <c r="I220" s="89"/>
    </row>
    <row r="221">
      <c r="A221" s="31"/>
      <c r="B221" s="738" t="s">
        <v>1970</v>
      </c>
      <c r="C221" s="6"/>
      <c r="D221" s="606">
        <f>E204</f>
        <v>2008000</v>
      </c>
      <c r="E221" s="600"/>
      <c r="F221" s="608" t="s">
        <v>1535</v>
      </c>
      <c r="G221" s="595"/>
      <c r="I221" s="89"/>
    </row>
    <row r="222">
      <c r="A222" s="31"/>
      <c r="B222" s="722" t="s">
        <v>1971</v>
      </c>
      <c r="C222" s="6"/>
      <c r="D222" s="769">
        <f>J212+J213+J214+J215+J216+J217+J218</f>
        <v>450000</v>
      </c>
      <c r="E222" s="617">
        <f>D221-D222</f>
        <v>1558000</v>
      </c>
      <c r="F222" s="618">
        <f>E222/25000</f>
        <v>62.32</v>
      </c>
      <c r="G222" s="799"/>
      <c r="I222" s="89"/>
    </row>
    <row r="223">
      <c r="A223" s="31"/>
      <c r="B223" s="824" t="s">
        <v>1952</v>
      </c>
      <c r="C223" s="6"/>
      <c r="D223" s="743">
        <v>2500000.0</v>
      </c>
      <c r="E223" s="600"/>
      <c r="F223" s="600"/>
      <c r="G223" s="595"/>
      <c r="I223" s="89"/>
    </row>
    <row r="224">
      <c r="A224" s="31"/>
      <c r="B224" s="446"/>
      <c r="C224" s="31"/>
      <c r="D224" s="331"/>
      <c r="E224" s="331"/>
      <c r="F224" s="331"/>
      <c r="G224" s="595"/>
      <c r="I224" s="89"/>
    </row>
    <row r="225">
      <c r="A225" s="31"/>
      <c r="B225" s="446"/>
      <c r="C225" s="31"/>
      <c r="D225" s="331"/>
      <c r="E225" s="331"/>
      <c r="F225" s="331"/>
      <c r="G225" s="595"/>
      <c r="I225" s="89"/>
    </row>
    <row r="226">
      <c r="A226" s="31"/>
      <c r="B226" s="446"/>
      <c r="C226" s="31"/>
      <c r="D226" s="331"/>
      <c r="E226" s="331"/>
      <c r="F226" s="331"/>
      <c r="G226" s="595"/>
      <c r="I226" s="89"/>
    </row>
    <row r="227">
      <c r="A227" s="31"/>
      <c r="B227" s="446"/>
      <c r="C227" s="31"/>
      <c r="D227" s="331"/>
      <c r="E227" s="331"/>
      <c r="F227" s="331"/>
      <c r="G227" s="595"/>
      <c r="I227" s="89"/>
    </row>
    <row r="228">
      <c r="A228" s="31"/>
      <c r="B228" s="446"/>
      <c r="C228" s="31"/>
      <c r="D228" s="331"/>
      <c r="E228" s="331"/>
      <c r="F228" s="331"/>
      <c r="G228" s="595"/>
      <c r="I228" s="89"/>
    </row>
    <row r="229">
      <c r="A229" s="31"/>
      <c r="B229" s="446"/>
      <c r="C229" s="31"/>
      <c r="D229" s="331"/>
      <c r="E229" s="331"/>
      <c r="F229" s="331"/>
      <c r="G229" s="595"/>
      <c r="I229" s="89"/>
    </row>
    <row r="230">
      <c r="A230" s="31"/>
      <c r="B230" s="446"/>
      <c r="C230" s="31"/>
      <c r="D230" s="331"/>
      <c r="E230" s="331"/>
      <c r="F230" s="331"/>
      <c r="G230" s="595"/>
      <c r="I230" s="89"/>
    </row>
    <row r="231">
      <c r="A231" s="31"/>
      <c r="B231" s="446"/>
      <c r="C231" s="31"/>
      <c r="D231" s="331"/>
      <c r="E231" s="331"/>
      <c r="F231" s="331"/>
      <c r="G231" s="595"/>
      <c r="I231" s="89"/>
    </row>
    <row r="232">
      <c r="A232" s="31"/>
      <c r="B232" s="446"/>
      <c r="C232" s="31"/>
      <c r="D232" s="331"/>
      <c r="E232" s="331"/>
      <c r="F232" s="331"/>
      <c r="G232" s="595"/>
      <c r="I232" s="89"/>
    </row>
    <row r="233">
      <c r="A233" s="31"/>
      <c r="B233" s="446"/>
      <c r="C233" s="31"/>
      <c r="D233" s="331"/>
      <c r="E233" s="331"/>
      <c r="F233" s="331"/>
      <c r="G233" s="595"/>
      <c r="I233" s="89"/>
    </row>
    <row r="234">
      <c r="A234" s="31"/>
      <c r="B234" s="446"/>
      <c r="C234" s="31"/>
      <c r="D234" s="331"/>
      <c r="E234" s="331"/>
      <c r="F234" s="331"/>
      <c r="G234" s="595"/>
      <c r="I234" s="89"/>
    </row>
    <row r="235">
      <c r="A235" s="31"/>
      <c r="B235" s="446"/>
      <c r="C235" s="31"/>
      <c r="D235" s="331"/>
      <c r="E235" s="331"/>
      <c r="F235" s="331"/>
      <c r="G235" s="595"/>
      <c r="I235" s="89"/>
    </row>
    <row r="236">
      <c r="A236" s="31"/>
      <c r="B236" s="446"/>
      <c r="C236" s="31"/>
      <c r="D236" s="331"/>
      <c r="E236" s="331"/>
      <c r="F236" s="331"/>
      <c r="G236" s="595"/>
      <c r="I236" s="89"/>
    </row>
    <row r="237">
      <c r="A237" s="31"/>
      <c r="B237" s="446"/>
      <c r="C237" s="31"/>
      <c r="D237" s="331"/>
      <c r="E237" s="331"/>
      <c r="F237" s="331"/>
      <c r="G237" s="595"/>
      <c r="I237" s="89"/>
    </row>
    <row r="238">
      <c r="A238" s="31"/>
      <c r="B238" s="446"/>
      <c r="C238" s="31"/>
      <c r="D238" s="331"/>
      <c r="E238" s="331"/>
      <c r="F238" s="331"/>
      <c r="G238" s="595"/>
      <c r="I238" s="89"/>
    </row>
    <row r="239">
      <c r="A239" s="31"/>
      <c r="B239" s="446"/>
      <c r="C239" s="31"/>
      <c r="D239" s="331"/>
      <c r="E239" s="331"/>
      <c r="F239" s="331"/>
      <c r="G239" s="595"/>
      <c r="I239" s="89"/>
    </row>
    <row r="240">
      <c r="A240" s="31"/>
      <c r="B240" s="446"/>
      <c r="C240" s="31"/>
      <c r="D240" s="331"/>
      <c r="E240" s="331"/>
      <c r="F240" s="331"/>
      <c r="G240" s="595"/>
      <c r="I240" s="89"/>
    </row>
    <row r="241">
      <c r="A241" s="31"/>
      <c r="B241" s="446"/>
      <c r="C241" s="31"/>
      <c r="D241" s="331"/>
      <c r="E241" s="331"/>
      <c r="F241" s="331"/>
      <c r="G241" s="595"/>
      <c r="I241" s="89"/>
    </row>
    <row r="242">
      <c r="A242" s="31"/>
      <c r="B242" s="446"/>
      <c r="C242" s="31"/>
      <c r="D242" s="331"/>
      <c r="E242" s="331"/>
      <c r="F242" s="331"/>
      <c r="G242" s="595"/>
      <c r="I242" s="89"/>
    </row>
    <row r="243">
      <c r="A243" s="31"/>
      <c r="B243" s="446"/>
      <c r="C243" s="31"/>
      <c r="D243" s="331"/>
      <c r="E243" s="331"/>
      <c r="F243" s="331"/>
      <c r="G243" s="595"/>
      <c r="I243" s="89"/>
    </row>
    <row r="244">
      <c r="A244" s="31"/>
      <c r="B244" s="446"/>
      <c r="C244" s="31"/>
      <c r="D244" s="331"/>
      <c r="E244" s="331"/>
      <c r="F244" s="331"/>
      <c r="G244" s="595"/>
      <c r="I244" s="89"/>
    </row>
    <row r="245">
      <c r="A245" s="31"/>
      <c r="B245" s="446"/>
      <c r="C245" s="31"/>
      <c r="D245" s="331"/>
      <c r="E245" s="331"/>
      <c r="F245" s="331"/>
      <c r="G245" s="595"/>
      <c r="I245" s="89"/>
    </row>
    <row r="246">
      <c r="A246" s="31"/>
      <c r="B246" s="446"/>
      <c r="C246" s="31"/>
      <c r="D246" s="331"/>
      <c r="E246" s="331"/>
      <c r="F246" s="331"/>
      <c r="G246" s="595"/>
      <c r="I246" s="89"/>
    </row>
    <row r="247">
      <c r="A247" s="31"/>
      <c r="B247" s="446"/>
      <c r="C247" s="31"/>
      <c r="D247" s="331"/>
      <c r="E247" s="331"/>
      <c r="F247" s="331"/>
      <c r="G247" s="595"/>
      <c r="I247" s="89"/>
    </row>
    <row r="248">
      <c r="A248" s="31"/>
      <c r="B248" s="446"/>
      <c r="C248" s="31"/>
      <c r="D248" s="331"/>
      <c r="E248" s="331"/>
      <c r="F248" s="331"/>
      <c r="G248" s="595"/>
      <c r="I248" s="89"/>
    </row>
    <row r="249">
      <c r="A249" s="31"/>
      <c r="B249" s="446"/>
      <c r="C249" s="31"/>
      <c r="D249" s="331"/>
      <c r="E249" s="331"/>
      <c r="F249" s="331"/>
      <c r="G249" s="595"/>
      <c r="I249" s="89"/>
    </row>
    <row r="250">
      <c r="A250" s="31"/>
      <c r="B250" s="446"/>
      <c r="C250" s="31"/>
      <c r="D250" s="331"/>
      <c r="E250" s="331"/>
      <c r="F250" s="331"/>
      <c r="G250" s="595"/>
      <c r="I250" s="89"/>
    </row>
    <row r="251">
      <c r="A251" s="31"/>
      <c r="B251" s="446"/>
      <c r="C251" s="31"/>
      <c r="D251" s="331"/>
      <c r="E251" s="331"/>
      <c r="F251" s="331"/>
      <c r="G251" s="595"/>
      <c r="I251" s="89"/>
    </row>
    <row r="252">
      <c r="A252" s="31"/>
      <c r="B252" s="446"/>
      <c r="C252" s="31"/>
      <c r="D252" s="331"/>
      <c r="E252" s="331"/>
      <c r="F252" s="331"/>
      <c r="G252" s="595"/>
      <c r="I252" s="89"/>
    </row>
    <row r="253">
      <c r="A253" s="31"/>
      <c r="B253" s="446"/>
      <c r="C253" s="31"/>
      <c r="D253" s="331"/>
      <c r="E253" s="331"/>
      <c r="F253" s="331"/>
      <c r="G253" s="595"/>
      <c r="I253" s="89"/>
    </row>
    <row r="254">
      <c r="A254" s="31"/>
      <c r="B254" s="446"/>
      <c r="C254" s="31"/>
      <c r="D254" s="331"/>
      <c r="E254" s="331"/>
      <c r="F254" s="331"/>
      <c r="G254" s="595"/>
      <c r="I254" s="89"/>
    </row>
    <row r="255">
      <c r="A255" s="31"/>
      <c r="B255" s="446"/>
      <c r="C255" s="31"/>
      <c r="D255" s="331"/>
      <c r="E255" s="331"/>
      <c r="F255" s="331"/>
      <c r="G255" s="595"/>
      <c r="I255" s="89"/>
    </row>
    <row r="256">
      <c r="A256" s="31"/>
      <c r="B256" s="446"/>
      <c r="C256" s="31"/>
      <c r="D256" s="331"/>
      <c r="E256" s="331"/>
      <c r="F256" s="331"/>
      <c r="G256" s="595"/>
      <c r="I256" s="89"/>
    </row>
    <row r="257">
      <c r="A257" s="31"/>
      <c r="B257" s="446"/>
      <c r="C257" s="31"/>
      <c r="D257" s="331"/>
      <c r="E257" s="331"/>
      <c r="F257" s="331"/>
      <c r="G257" s="595"/>
      <c r="I257" s="89"/>
    </row>
    <row r="258">
      <c r="A258" s="31"/>
      <c r="B258" s="446"/>
      <c r="C258" s="31"/>
      <c r="D258" s="331"/>
      <c r="E258" s="331"/>
      <c r="F258" s="331"/>
      <c r="G258" s="595"/>
      <c r="I258" s="89"/>
    </row>
    <row r="259">
      <c r="A259" s="31"/>
      <c r="B259" s="446"/>
      <c r="C259" s="31"/>
      <c r="D259" s="331"/>
      <c r="E259" s="331"/>
      <c r="F259" s="331"/>
      <c r="G259" s="595"/>
      <c r="I259" s="89"/>
    </row>
    <row r="260">
      <c r="A260" s="31"/>
      <c r="B260" s="446"/>
      <c r="C260" s="31"/>
      <c r="D260" s="331"/>
      <c r="E260" s="331"/>
      <c r="F260" s="331"/>
      <c r="G260" s="595"/>
      <c r="I260" s="89"/>
    </row>
    <row r="261">
      <c r="A261" s="31"/>
      <c r="B261" s="446"/>
      <c r="C261" s="31"/>
      <c r="D261" s="331"/>
      <c r="E261" s="331"/>
      <c r="F261" s="331"/>
      <c r="G261" s="595"/>
      <c r="I261" s="89"/>
    </row>
    <row r="262">
      <c r="A262" s="31"/>
      <c r="B262" s="446"/>
      <c r="C262" s="31"/>
      <c r="D262" s="331"/>
      <c r="E262" s="331"/>
      <c r="F262" s="331"/>
      <c r="G262" s="595"/>
      <c r="I262" s="89"/>
    </row>
    <row r="263">
      <c r="A263" s="31"/>
      <c r="B263" s="446"/>
      <c r="C263" s="31"/>
      <c r="D263" s="331"/>
      <c r="E263" s="331"/>
      <c r="F263" s="331"/>
      <c r="G263" s="595"/>
      <c r="I263" s="89"/>
    </row>
    <row r="264">
      <c r="A264" s="31"/>
      <c r="B264" s="446"/>
      <c r="C264" s="31"/>
      <c r="D264" s="331"/>
      <c r="E264" s="331"/>
      <c r="F264" s="331"/>
      <c r="G264" s="595"/>
      <c r="I264" s="89"/>
    </row>
    <row r="265">
      <c r="A265" s="31"/>
      <c r="B265" s="446"/>
      <c r="C265" s="31"/>
      <c r="D265" s="331"/>
      <c r="E265" s="331"/>
      <c r="F265" s="331"/>
      <c r="G265" s="595"/>
      <c r="I265" s="89"/>
    </row>
    <row r="266">
      <c r="A266" s="31"/>
      <c r="B266" s="446"/>
      <c r="C266" s="31"/>
      <c r="D266" s="331"/>
      <c r="E266" s="331"/>
      <c r="F266" s="331"/>
      <c r="G266" s="595"/>
      <c r="I266" s="89"/>
    </row>
    <row r="267">
      <c r="A267" s="31"/>
      <c r="B267" s="446"/>
      <c r="C267" s="31"/>
      <c r="D267" s="331"/>
      <c r="E267" s="331"/>
      <c r="F267" s="331"/>
      <c r="G267" s="595"/>
      <c r="I267" s="89"/>
    </row>
    <row r="268">
      <c r="A268" s="31"/>
      <c r="B268" s="446"/>
      <c r="C268" s="31"/>
      <c r="D268" s="331"/>
      <c r="E268" s="331"/>
      <c r="F268" s="331"/>
      <c r="G268" s="595"/>
      <c r="I268" s="89"/>
    </row>
    <row r="269">
      <c r="A269" s="31"/>
      <c r="B269" s="446"/>
      <c r="C269" s="31"/>
      <c r="D269" s="331"/>
      <c r="E269" s="331"/>
      <c r="F269" s="331"/>
      <c r="G269" s="595"/>
      <c r="I269" s="89"/>
    </row>
    <row r="270">
      <c r="A270" s="31"/>
      <c r="B270" s="446"/>
      <c r="C270" s="31"/>
      <c r="D270" s="331"/>
      <c r="E270" s="331"/>
      <c r="F270" s="331"/>
      <c r="G270" s="595"/>
      <c r="I270" s="89"/>
    </row>
    <row r="271">
      <c r="A271" s="31"/>
      <c r="B271" s="446"/>
      <c r="C271" s="31"/>
      <c r="D271" s="331"/>
      <c r="E271" s="331"/>
      <c r="F271" s="331"/>
      <c r="G271" s="595"/>
      <c r="I271" s="89"/>
    </row>
    <row r="272">
      <c r="A272" s="31"/>
      <c r="B272" s="446"/>
      <c r="C272" s="31"/>
      <c r="D272" s="331"/>
      <c r="E272" s="331"/>
      <c r="F272" s="331"/>
      <c r="G272" s="595"/>
      <c r="I272" s="89"/>
    </row>
    <row r="273">
      <c r="A273" s="31"/>
      <c r="B273" s="446"/>
      <c r="C273" s="31"/>
      <c r="D273" s="331"/>
      <c r="E273" s="331"/>
      <c r="F273" s="331"/>
      <c r="G273" s="595"/>
      <c r="I273" s="89"/>
    </row>
    <row r="274">
      <c r="A274" s="31"/>
      <c r="B274" s="446"/>
      <c r="C274" s="31"/>
      <c r="D274" s="331"/>
      <c r="E274" s="331"/>
      <c r="F274" s="331"/>
      <c r="G274" s="595"/>
      <c r="I274" s="89"/>
    </row>
    <row r="275">
      <c r="A275" s="31"/>
      <c r="B275" s="446"/>
      <c r="C275" s="31"/>
      <c r="D275" s="331"/>
      <c r="E275" s="331"/>
      <c r="F275" s="331"/>
      <c r="G275" s="595"/>
      <c r="I275" s="89"/>
    </row>
    <row r="276">
      <c r="A276" s="31"/>
      <c r="B276" s="446"/>
      <c r="C276" s="31"/>
      <c r="D276" s="331"/>
      <c r="E276" s="331"/>
      <c r="F276" s="331"/>
      <c r="G276" s="595"/>
      <c r="I276" s="89"/>
    </row>
    <row r="277">
      <c r="A277" s="31"/>
      <c r="B277" s="446"/>
      <c r="C277" s="31"/>
      <c r="D277" s="331"/>
      <c r="E277" s="331"/>
      <c r="F277" s="331"/>
      <c r="G277" s="595"/>
      <c r="I277" s="89"/>
    </row>
    <row r="278">
      <c r="A278" s="31"/>
      <c r="B278" s="446"/>
      <c r="C278" s="31"/>
      <c r="D278" s="331"/>
      <c r="E278" s="331"/>
      <c r="F278" s="331"/>
      <c r="G278" s="595"/>
      <c r="I278" s="89"/>
    </row>
    <row r="279">
      <c r="A279" s="31"/>
      <c r="B279" s="446"/>
      <c r="C279" s="31"/>
      <c r="D279" s="331"/>
      <c r="E279" s="331"/>
      <c r="F279" s="331"/>
      <c r="G279" s="595"/>
      <c r="I279" s="89"/>
    </row>
    <row r="280">
      <c r="A280" s="31"/>
      <c r="B280" s="446"/>
      <c r="C280" s="31"/>
      <c r="D280" s="331"/>
      <c r="E280" s="331"/>
      <c r="F280" s="331"/>
      <c r="G280" s="595"/>
      <c r="I280" s="89"/>
    </row>
    <row r="281">
      <c r="A281" s="31"/>
      <c r="B281" s="446"/>
      <c r="C281" s="31"/>
      <c r="D281" s="331"/>
      <c r="E281" s="331"/>
      <c r="F281" s="331"/>
      <c r="G281" s="595"/>
      <c r="I281" s="89"/>
    </row>
    <row r="282">
      <c r="A282" s="31"/>
      <c r="B282" s="446"/>
      <c r="C282" s="31"/>
      <c r="D282" s="331"/>
      <c r="E282" s="331"/>
      <c r="F282" s="331"/>
      <c r="G282" s="595"/>
      <c r="I282" s="89"/>
    </row>
    <row r="283">
      <c r="A283" s="31"/>
      <c r="B283" s="446"/>
      <c r="C283" s="31"/>
      <c r="D283" s="331"/>
      <c r="E283" s="331"/>
      <c r="F283" s="331"/>
      <c r="G283" s="595"/>
      <c r="I283" s="89"/>
    </row>
    <row r="284">
      <c r="A284" s="31"/>
      <c r="B284" s="446"/>
      <c r="C284" s="31"/>
      <c r="D284" s="331"/>
      <c r="E284" s="331"/>
      <c r="F284" s="331"/>
      <c r="G284" s="595"/>
      <c r="I284" s="89"/>
    </row>
    <row r="285">
      <c r="A285" s="31"/>
      <c r="B285" s="446"/>
      <c r="C285" s="31"/>
      <c r="D285" s="331"/>
      <c r="E285" s="331"/>
      <c r="F285" s="331"/>
      <c r="G285" s="595"/>
      <c r="I285" s="89"/>
    </row>
    <row r="286">
      <c r="A286" s="31"/>
      <c r="B286" s="446"/>
      <c r="C286" s="31"/>
      <c r="D286" s="331"/>
      <c r="E286" s="331"/>
      <c r="F286" s="331"/>
      <c r="G286" s="595"/>
      <c r="I286" s="89"/>
    </row>
    <row r="287">
      <c r="A287" s="31"/>
      <c r="B287" s="446"/>
      <c r="C287" s="31"/>
      <c r="D287" s="331"/>
      <c r="E287" s="331"/>
      <c r="F287" s="331"/>
      <c r="G287" s="595"/>
      <c r="I287" s="89"/>
    </row>
    <row r="288">
      <c r="A288" s="31"/>
      <c r="B288" s="446"/>
      <c r="C288" s="31"/>
      <c r="D288" s="331"/>
      <c r="E288" s="331"/>
      <c r="F288" s="331"/>
      <c r="G288" s="595"/>
      <c r="I288" s="89"/>
    </row>
    <row r="289">
      <c r="A289" s="31"/>
      <c r="B289" s="446"/>
      <c r="C289" s="31"/>
      <c r="D289" s="331"/>
      <c r="E289" s="331"/>
      <c r="F289" s="331"/>
      <c r="G289" s="595"/>
      <c r="I289" s="89"/>
    </row>
    <row r="290">
      <c r="A290" s="31"/>
      <c r="B290" s="446"/>
      <c r="C290" s="31"/>
      <c r="D290" s="331"/>
      <c r="E290" s="331"/>
      <c r="F290" s="331"/>
      <c r="G290" s="595"/>
      <c r="I290" s="89"/>
    </row>
    <row r="291">
      <c r="A291" s="31"/>
      <c r="B291" s="446"/>
      <c r="C291" s="31"/>
      <c r="D291" s="331"/>
      <c r="E291" s="331"/>
      <c r="F291" s="331"/>
      <c r="G291" s="595"/>
      <c r="I291" s="89"/>
    </row>
    <row r="292">
      <c r="A292" s="31"/>
      <c r="B292" s="446"/>
      <c r="C292" s="31"/>
      <c r="D292" s="331"/>
      <c r="E292" s="331"/>
      <c r="F292" s="331"/>
      <c r="G292" s="595"/>
      <c r="I292" s="89"/>
    </row>
    <row r="293">
      <c r="A293" s="31"/>
      <c r="B293" s="446"/>
      <c r="C293" s="31"/>
      <c r="D293" s="331"/>
      <c r="E293" s="331"/>
      <c r="F293" s="331"/>
      <c r="G293" s="595"/>
      <c r="I293" s="89"/>
    </row>
    <row r="294">
      <c r="A294" s="31"/>
      <c r="B294" s="446"/>
      <c r="C294" s="31"/>
      <c r="D294" s="331"/>
      <c r="E294" s="331"/>
      <c r="F294" s="331"/>
      <c r="G294" s="595"/>
      <c r="I294" s="89"/>
    </row>
    <row r="295">
      <c r="A295" s="31"/>
      <c r="B295" s="446"/>
      <c r="C295" s="31"/>
      <c r="D295" s="331"/>
      <c r="E295" s="331"/>
      <c r="F295" s="331"/>
      <c r="G295" s="595"/>
      <c r="I295" s="89"/>
    </row>
    <row r="296">
      <c r="A296" s="31"/>
      <c r="B296" s="446"/>
      <c r="C296" s="31"/>
      <c r="D296" s="331"/>
      <c r="E296" s="331"/>
      <c r="F296" s="331"/>
      <c r="G296" s="595"/>
      <c r="I296" s="89"/>
    </row>
    <row r="297">
      <c r="A297" s="31"/>
      <c r="B297" s="446"/>
      <c r="C297" s="31"/>
      <c r="D297" s="331"/>
      <c r="E297" s="331"/>
      <c r="F297" s="331"/>
      <c r="G297" s="595"/>
      <c r="I297" s="89"/>
    </row>
    <row r="298">
      <c r="A298" s="31"/>
      <c r="B298" s="446"/>
      <c r="C298" s="31"/>
      <c r="D298" s="331"/>
      <c r="E298" s="331"/>
      <c r="F298" s="331"/>
      <c r="G298" s="595"/>
      <c r="I298" s="89"/>
    </row>
    <row r="299">
      <c r="A299" s="31"/>
      <c r="B299" s="446"/>
      <c r="C299" s="31"/>
      <c r="D299" s="331"/>
      <c r="E299" s="331"/>
      <c r="F299" s="331"/>
      <c r="G299" s="595"/>
      <c r="I299" s="89"/>
    </row>
    <row r="300">
      <c r="A300" s="31"/>
      <c r="B300" s="446"/>
      <c r="C300" s="31"/>
      <c r="D300" s="331"/>
      <c r="E300" s="331"/>
      <c r="F300" s="331"/>
      <c r="G300" s="595"/>
      <c r="I300" s="89"/>
    </row>
    <row r="301">
      <c r="A301" s="31"/>
      <c r="B301" s="446"/>
      <c r="C301" s="31"/>
      <c r="D301" s="331"/>
      <c r="E301" s="331"/>
      <c r="F301" s="331"/>
      <c r="G301" s="595"/>
      <c r="I301" s="89"/>
    </row>
    <row r="302">
      <c r="A302" s="31"/>
      <c r="B302" s="446"/>
      <c r="C302" s="31"/>
      <c r="D302" s="331"/>
      <c r="E302" s="331"/>
      <c r="F302" s="331"/>
      <c r="G302" s="595"/>
      <c r="I302" s="89"/>
    </row>
    <row r="303">
      <c r="A303" s="31"/>
      <c r="B303" s="446"/>
      <c r="C303" s="31"/>
      <c r="D303" s="331"/>
      <c r="E303" s="331"/>
      <c r="F303" s="331"/>
      <c r="G303" s="595"/>
      <c r="I303" s="89"/>
    </row>
    <row r="304">
      <c r="A304" s="31"/>
      <c r="B304" s="446"/>
      <c r="C304" s="31"/>
      <c r="D304" s="331"/>
      <c r="E304" s="331"/>
      <c r="F304" s="331"/>
      <c r="G304" s="595"/>
      <c r="I304" s="89"/>
    </row>
    <row r="305">
      <c r="A305" s="31"/>
      <c r="B305" s="446"/>
      <c r="C305" s="31"/>
      <c r="D305" s="331"/>
      <c r="E305" s="331"/>
      <c r="F305" s="331"/>
      <c r="G305" s="595"/>
      <c r="I305" s="89"/>
    </row>
    <row r="306">
      <c r="A306" s="31"/>
      <c r="B306" s="446"/>
      <c r="C306" s="31"/>
      <c r="D306" s="331"/>
      <c r="E306" s="331"/>
      <c r="F306" s="331"/>
      <c r="G306" s="595"/>
      <c r="I306" s="89"/>
    </row>
    <row r="307">
      <c r="A307" s="31"/>
      <c r="B307" s="446"/>
      <c r="C307" s="31"/>
      <c r="D307" s="331"/>
      <c r="E307" s="331"/>
      <c r="F307" s="331"/>
      <c r="G307" s="595"/>
      <c r="I307" s="89"/>
    </row>
    <row r="308">
      <c r="A308" s="31"/>
      <c r="B308" s="446"/>
      <c r="C308" s="31"/>
      <c r="D308" s="331"/>
      <c r="E308" s="331"/>
      <c r="F308" s="331"/>
      <c r="G308" s="595"/>
      <c r="I308" s="89"/>
    </row>
    <row r="309">
      <c r="A309" s="31"/>
      <c r="B309" s="446"/>
      <c r="C309" s="31"/>
      <c r="D309" s="331"/>
      <c r="E309" s="331"/>
      <c r="F309" s="331"/>
      <c r="G309" s="595"/>
      <c r="I309" s="89"/>
    </row>
    <row r="310">
      <c r="A310" s="31"/>
      <c r="B310" s="446"/>
      <c r="C310" s="31"/>
      <c r="D310" s="331"/>
      <c r="E310" s="331"/>
      <c r="F310" s="331"/>
      <c r="G310" s="595"/>
      <c r="I310" s="89"/>
    </row>
    <row r="311">
      <c r="A311" s="31"/>
      <c r="B311" s="446"/>
      <c r="C311" s="31"/>
      <c r="D311" s="331"/>
      <c r="E311" s="331"/>
      <c r="F311" s="331"/>
      <c r="G311" s="595"/>
      <c r="I311" s="89"/>
    </row>
    <row r="312">
      <c r="A312" s="31"/>
      <c r="B312" s="446"/>
      <c r="C312" s="31"/>
      <c r="D312" s="331"/>
      <c r="E312" s="331"/>
      <c r="F312" s="331"/>
      <c r="G312" s="595"/>
      <c r="I312" s="89"/>
    </row>
    <row r="313">
      <c r="A313" s="31"/>
      <c r="B313" s="446"/>
      <c r="C313" s="31"/>
      <c r="D313" s="331"/>
      <c r="E313" s="331"/>
      <c r="F313" s="331"/>
      <c r="G313" s="595"/>
      <c r="I313" s="89"/>
    </row>
    <row r="314">
      <c r="A314" s="31"/>
      <c r="B314" s="446"/>
      <c r="C314" s="31"/>
      <c r="D314" s="331"/>
      <c r="E314" s="331"/>
      <c r="F314" s="331"/>
      <c r="G314" s="595"/>
      <c r="I314" s="89"/>
    </row>
    <row r="315">
      <c r="A315" s="31"/>
      <c r="B315" s="446"/>
      <c r="C315" s="31"/>
      <c r="D315" s="331"/>
      <c r="E315" s="331"/>
      <c r="F315" s="331"/>
      <c r="G315" s="595"/>
      <c r="I315" s="89"/>
    </row>
    <row r="316">
      <c r="A316" s="31"/>
      <c r="B316" s="446"/>
      <c r="C316" s="31"/>
      <c r="D316" s="331"/>
      <c r="E316" s="331"/>
      <c r="F316" s="331"/>
      <c r="G316" s="595"/>
      <c r="I316" s="89"/>
    </row>
    <row r="317">
      <c r="A317" s="31"/>
      <c r="B317" s="446"/>
      <c r="C317" s="31"/>
      <c r="D317" s="331"/>
      <c r="E317" s="331"/>
      <c r="F317" s="331"/>
      <c r="G317" s="595"/>
      <c r="I317" s="89"/>
    </row>
    <row r="318">
      <c r="A318" s="31"/>
      <c r="B318" s="446"/>
      <c r="C318" s="31"/>
      <c r="D318" s="331"/>
      <c r="E318" s="331"/>
      <c r="F318" s="331"/>
      <c r="G318" s="595"/>
      <c r="I318" s="89"/>
    </row>
    <row r="319">
      <c r="A319" s="31"/>
      <c r="B319" s="446"/>
      <c r="C319" s="31"/>
      <c r="D319" s="331"/>
      <c r="E319" s="331"/>
      <c r="F319" s="331"/>
      <c r="G319" s="595"/>
      <c r="I319" s="89"/>
    </row>
    <row r="320">
      <c r="A320" s="31"/>
      <c r="B320" s="446"/>
      <c r="C320" s="31"/>
      <c r="D320" s="331"/>
      <c r="E320" s="331"/>
      <c r="F320" s="331"/>
      <c r="G320" s="595"/>
      <c r="I320" s="89"/>
    </row>
    <row r="321">
      <c r="A321" s="31"/>
      <c r="B321" s="446"/>
      <c r="C321" s="31"/>
      <c r="D321" s="331"/>
      <c r="E321" s="331"/>
      <c r="F321" s="331"/>
      <c r="G321" s="595"/>
      <c r="I321" s="89"/>
    </row>
    <row r="322">
      <c r="A322" s="31"/>
      <c r="B322" s="446"/>
      <c r="C322" s="31"/>
      <c r="D322" s="331"/>
      <c r="E322" s="331"/>
      <c r="F322" s="331"/>
      <c r="G322" s="595"/>
      <c r="I322" s="89"/>
    </row>
    <row r="323">
      <c r="A323" s="31"/>
      <c r="B323" s="446"/>
      <c r="C323" s="31"/>
      <c r="D323" s="331"/>
      <c r="E323" s="331"/>
      <c r="F323" s="331"/>
      <c r="G323" s="595"/>
      <c r="I323" s="89"/>
    </row>
    <row r="324">
      <c r="A324" s="31"/>
      <c r="B324" s="446"/>
      <c r="C324" s="31"/>
      <c r="D324" s="331"/>
      <c r="E324" s="331"/>
      <c r="F324" s="331"/>
      <c r="G324" s="595"/>
      <c r="I324" s="89"/>
    </row>
    <row r="325">
      <c r="A325" s="31"/>
      <c r="B325" s="446"/>
      <c r="C325" s="31"/>
      <c r="D325" s="331"/>
      <c r="E325" s="331"/>
      <c r="F325" s="331"/>
      <c r="G325" s="595"/>
      <c r="I325" s="89"/>
    </row>
    <row r="326">
      <c r="A326" s="31"/>
      <c r="B326" s="446"/>
      <c r="C326" s="31"/>
      <c r="D326" s="331"/>
      <c r="E326" s="331"/>
      <c r="F326" s="331"/>
      <c r="G326" s="595"/>
      <c r="I326" s="89"/>
    </row>
    <row r="327">
      <c r="A327" s="31"/>
      <c r="B327" s="446"/>
      <c r="C327" s="31"/>
      <c r="D327" s="331"/>
      <c r="E327" s="331"/>
      <c r="F327" s="331"/>
      <c r="G327" s="595"/>
      <c r="I327" s="89"/>
    </row>
    <row r="328">
      <c r="A328" s="31"/>
      <c r="B328" s="446"/>
      <c r="C328" s="31"/>
      <c r="D328" s="331"/>
      <c r="E328" s="331"/>
      <c r="F328" s="331"/>
      <c r="G328" s="595"/>
      <c r="I328" s="89"/>
    </row>
    <row r="329">
      <c r="A329" s="31"/>
      <c r="B329" s="446"/>
      <c r="C329" s="31"/>
      <c r="D329" s="331"/>
      <c r="E329" s="331"/>
      <c r="F329" s="331"/>
      <c r="G329" s="595"/>
      <c r="I329" s="89"/>
    </row>
    <row r="330">
      <c r="A330" s="31"/>
      <c r="B330" s="446"/>
      <c r="C330" s="31"/>
      <c r="D330" s="331"/>
      <c r="E330" s="331"/>
      <c r="F330" s="331"/>
      <c r="G330" s="595"/>
      <c r="I330" s="89"/>
    </row>
    <row r="331">
      <c r="A331" s="31"/>
      <c r="B331" s="446"/>
      <c r="C331" s="31"/>
      <c r="D331" s="331"/>
      <c r="E331" s="331"/>
      <c r="F331" s="331"/>
      <c r="G331" s="595"/>
      <c r="I331" s="89"/>
    </row>
    <row r="332">
      <c r="A332" s="31"/>
      <c r="B332" s="446"/>
      <c r="C332" s="31"/>
      <c r="D332" s="331"/>
      <c r="E332" s="331"/>
      <c r="F332" s="331"/>
      <c r="G332" s="595"/>
      <c r="I332" s="89"/>
    </row>
    <row r="333">
      <c r="A333" s="31"/>
      <c r="B333" s="446"/>
      <c r="C333" s="31"/>
      <c r="D333" s="331"/>
      <c r="E333" s="331"/>
      <c r="F333" s="331"/>
      <c r="G333" s="595"/>
      <c r="I333" s="89"/>
    </row>
    <row r="334">
      <c r="A334" s="31"/>
      <c r="B334" s="446"/>
      <c r="C334" s="31"/>
      <c r="D334" s="331"/>
      <c r="E334" s="331"/>
      <c r="F334" s="331"/>
      <c r="G334" s="595"/>
      <c r="I334" s="89"/>
    </row>
    <row r="335">
      <c r="A335" s="31"/>
      <c r="B335" s="446"/>
      <c r="C335" s="31"/>
      <c r="D335" s="331"/>
      <c r="E335" s="331"/>
      <c r="F335" s="331"/>
      <c r="G335" s="595"/>
      <c r="I335" s="89"/>
    </row>
    <row r="336">
      <c r="A336" s="31"/>
      <c r="B336" s="446"/>
      <c r="C336" s="31"/>
      <c r="D336" s="331"/>
      <c r="E336" s="331"/>
      <c r="F336" s="331"/>
      <c r="G336" s="595"/>
      <c r="I336" s="89"/>
    </row>
    <row r="337">
      <c r="A337" s="31"/>
      <c r="B337" s="446"/>
      <c r="C337" s="31"/>
      <c r="D337" s="331"/>
      <c r="E337" s="331"/>
      <c r="F337" s="331"/>
      <c r="G337" s="595"/>
      <c r="I337" s="89"/>
    </row>
    <row r="338">
      <c r="A338" s="31"/>
      <c r="B338" s="446"/>
      <c r="C338" s="31"/>
      <c r="D338" s="331"/>
      <c r="E338" s="331"/>
      <c r="F338" s="331"/>
      <c r="G338" s="595"/>
      <c r="I338" s="89"/>
    </row>
    <row r="339">
      <c r="A339" s="31"/>
      <c r="B339" s="446"/>
      <c r="C339" s="31"/>
      <c r="D339" s="331"/>
      <c r="E339" s="331"/>
      <c r="F339" s="331"/>
      <c r="G339" s="595"/>
      <c r="I339" s="89"/>
    </row>
    <row r="340">
      <c r="A340" s="31"/>
      <c r="B340" s="446"/>
      <c r="C340" s="31"/>
      <c r="D340" s="331"/>
      <c r="E340" s="331"/>
      <c r="F340" s="331"/>
      <c r="G340" s="595"/>
      <c r="I340" s="89"/>
    </row>
    <row r="341">
      <c r="A341" s="31"/>
      <c r="B341" s="446"/>
      <c r="C341" s="31"/>
      <c r="D341" s="331"/>
      <c r="E341" s="331"/>
      <c r="F341" s="331"/>
      <c r="G341" s="595"/>
      <c r="I341" s="89"/>
    </row>
    <row r="342">
      <c r="A342" s="31"/>
      <c r="B342" s="446"/>
      <c r="C342" s="31"/>
      <c r="D342" s="331"/>
      <c r="E342" s="331"/>
      <c r="F342" s="331"/>
      <c r="G342" s="595"/>
      <c r="I342" s="89"/>
    </row>
    <row r="343">
      <c r="A343" s="31"/>
      <c r="B343" s="446"/>
      <c r="C343" s="31"/>
      <c r="D343" s="331"/>
      <c r="E343" s="331"/>
      <c r="F343" s="331"/>
      <c r="G343" s="595"/>
      <c r="I343" s="89"/>
    </row>
    <row r="344">
      <c r="A344" s="31"/>
      <c r="B344" s="446"/>
      <c r="C344" s="31"/>
      <c r="D344" s="331"/>
      <c r="E344" s="331"/>
      <c r="F344" s="331"/>
      <c r="G344" s="595"/>
      <c r="I344" s="89"/>
    </row>
    <row r="345">
      <c r="A345" s="31"/>
      <c r="B345" s="446"/>
      <c r="C345" s="31"/>
      <c r="D345" s="331"/>
      <c r="E345" s="331"/>
      <c r="F345" s="331"/>
      <c r="G345" s="595"/>
      <c r="I345" s="89"/>
    </row>
    <row r="346">
      <c r="A346" s="31"/>
      <c r="B346" s="446"/>
      <c r="C346" s="31"/>
      <c r="D346" s="331"/>
      <c r="E346" s="331"/>
      <c r="F346" s="331"/>
      <c r="G346" s="595"/>
      <c r="I346" s="89"/>
    </row>
    <row r="347">
      <c r="A347" s="31"/>
      <c r="B347" s="446"/>
      <c r="C347" s="31"/>
      <c r="D347" s="331"/>
      <c r="E347" s="331"/>
      <c r="F347" s="331"/>
      <c r="G347" s="595"/>
      <c r="I347" s="89"/>
    </row>
    <row r="348">
      <c r="A348" s="31"/>
      <c r="B348" s="446"/>
      <c r="C348" s="31"/>
      <c r="D348" s="331"/>
      <c r="E348" s="331"/>
      <c r="F348" s="331"/>
      <c r="G348" s="595"/>
      <c r="I348" s="89"/>
    </row>
    <row r="349">
      <c r="A349" s="31"/>
      <c r="B349" s="446"/>
      <c r="C349" s="31"/>
      <c r="D349" s="331"/>
      <c r="E349" s="331"/>
      <c r="F349" s="331"/>
      <c r="G349" s="595"/>
      <c r="I349" s="89"/>
    </row>
    <row r="350">
      <c r="A350" s="31"/>
      <c r="B350" s="446"/>
      <c r="C350" s="31"/>
      <c r="D350" s="331"/>
      <c r="E350" s="331"/>
      <c r="F350" s="331"/>
      <c r="G350" s="595"/>
      <c r="I350" s="89"/>
    </row>
    <row r="351">
      <c r="A351" s="31"/>
      <c r="B351" s="446"/>
      <c r="C351" s="31"/>
      <c r="D351" s="331"/>
      <c r="E351" s="331"/>
      <c r="F351" s="331"/>
      <c r="G351" s="595"/>
      <c r="I351" s="89"/>
    </row>
    <row r="352">
      <c r="A352" s="31"/>
      <c r="B352" s="446"/>
      <c r="C352" s="31"/>
      <c r="D352" s="331"/>
      <c r="E352" s="331"/>
      <c r="F352" s="331"/>
      <c r="G352" s="595"/>
      <c r="I352" s="89"/>
    </row>
    <row r="353">
      <c r="A353" s="31"/>
      <c r="B353" s="446"/>
      <c r="C353" s="31"/>
      <c r="D353" s="331"/>
      <c r="E353" s="331"/>
      <c r="F353" s="331"/>
      <c r="G353" s="595"/>
      <c r="I353" s="89"/>
    </row>
    <row r="354">
      <c r="A354" s="31"/>
      <c r="B354" s="446"/>
      <c r="C354" s="31"/>
      <c r="D354" s="331"/>
      <c r="E354" s="331"/>
      <c r="F354" s="331"/>
      <c r="G354" s="595"/>
      <c r="I354" s="89"/>
    </row>
    <row r="355">
      <c r="A355" s="31"/>
      <c r="B355" s="446"/>
      <c r="C355" s="31"/>
      <c r="D355" s="331"/>
      <c r="E355" s="331"/>
      <c r="F355" s="331"/>
      <c r="G355" s="595"/>
      <c r="I355" s="89"/>
    </row>
    <row r="356">
      <c r="A356" s="31"/>
      <c r="B356" s="446"/>
      <c r="C356" s="31"/>
      <c r="D356" s="331"/>
      <c r="E356" s="331"/>
      <c r="F356" s="331"/>
      <c r="G356" s="595"/>
      <c r="I356" s="89"/>
    </row>
    <row r="357">
      <c r="A357" s="31"/>
      <c r="B357" s="446"/>
      <c r="C357" s="31"/>
      <c r="D357" s="331"/>
      <c r="E357" s="331"/>
      <c r="F357" s="331"/>
      <c r="G357" s="595"/>
      <c r="I357" s="89"/>
    </row>
    <row r="358">
      <c r="A358" s="31"/>
      <c r="B358" s="446"/>
      <c r="C358" s="31"/>
      <c r="D358" s="331"/>
      <c r="E358" s="331"/>
      <c r="F358" s="331"/>
      <c r="G358" s="595"/>
      <c r="I358" s="89"/>
    </row>
    <row r="359">
      <c r="A359" s="31"/>
      <c r="B359" s="446"/>
      <c r="C359" s="31"/>
      <c r="D359" s="331"/>
      <c r="E359" s="331"/>
      <c r="F359" s="331"/>
      <c r="G359" s="595"/>
      <c r="I359" s="89"/>
    </row>
    <row r="360">
      <c r="A360" s="31"/>
      <c r="B360" s="446"/>
      <c r="C360" s="31"/>
      <c r="D360" s="331"/>
      <c r="E360" s="331"/>
      <c r="F360" s="331"/>
      <c r="G360" s="595"/>
      <c r="I360" s="89"/>
    </row>
    <row r="361">
      <c r="A361" s="31"/>
      <c r="B361" s="446"/>
      <c r="C361" s="31"/>
      <c r="D361" s="331"/>
      <c r="E361" s="331"/>
      <c r="F361" s="331"/>
      <c r="G361" s="595"/>
      <c r="I361" s="89"/>
    </row>
    <row r="362">
      <c r="A362" s="31"/>
      <c r="B362" s="446"/>
      <c r="C362" s="31"/>
      <c r="D362" s="331"/>
      <c r="E362" s="331"/>
      <c r="F362" s="331"/>
      <c r="G362" s="595"/>
      <c r="I362" s="89"/>
    </row>
    <row r="363">
      <c r="A363" s="31"/>
      <c r="B363" s="446"/>
      <c r="C363" s="31"/>
      <c r="D363" s="331"/>
      <c r="E363" s="331"/>
      <c r="F363" s="331"/>
      <c r="G363" s="595"/>
      <c r="I363" s="89"/>
    </row>
    <row r="364">
      <c r="A364" s="31"/>
      <c r="B364" s="446"/>
      <c r="C364" s="31"/>
      <c r="D364" s="331"/>
      <c r="E364" s="331"/>
      <c r="F364" s="331"/>
      <c r="G364" s="595"/>
      <c r="I364" s="89"/>
    </row>
    <row r="365">
      <c r="A365" s="31"/>
      <c r="B365" s="446"/>
      <c r="C365" s="31"/>
      <c r="D365" s="331"/>
      <c r="E365" s="331"/>
      <c r="F365" s="331"/>
      <c r="G365" s="595"/>
      <c r="I365" s="89"/>
    </row>
    <row r="366">
      <c r="A366" s="31"/>
      <c r="B366" s="446"/>
      <c r="C366" s="31"/>
      <c r="D366" s="331"/>
      <c r="E366" s="331"/>
      <c r="F366" s="331"/>
      <c r="G366" s="595"/>
      <c r="I366" s="89"/>
    </row>
    <row r="367">
      <c r="A367" s="31"/>
      <c r="B367" s="446"/>
      <c r="C367" s="31"/>
      <c r="D367" s="331"/>
      <c r="E367" s="331"/>
      <c r="F367" s="331"/>
      <c r="G367" s="595"/>
      <c r="I367" s="89"/>
    </row>
    <row r="368">
      <c r="A368" s="31"/>
      <c r="B368" s="446"/>
      <c r="C368" s="31"/>
      <c r="D368" s="331"/>
      <c r="E368" s="331"/>
      <c r="F368" s="331"/>
      <c r="G368" s="595"/>
      <c r="I368" s="89"/>
    </row>
    <row r="369">
      <c r="A369" s="31"/>
      <c r="B369" s="446"/>
      <c r="C369" s="31"/>
      <c r="D369" s="331"/>
      <c r="E369" s="331"/>
      <c r="F369" s="331"/>
      <c r="G369" s="595"/>
      <c r="I369" s="89"/>
    </row>
    <row r="370">
      <c r="A370" s="31"/>
      <c r="B370" s="446"/>
      <c r="C370" s="31"/>
      <c r="D370" s="331"/>
      <c r="E370" s="331"/>
      <c r="F370" s="331"/>
      <c r="G370" s="595"/>
      <c r="I370" s="89"/>
    </row>
    <row r="371">
      <c r="A371" s="31"/>
      <c r="B371" s="446"/>
      <c r="C371" s="31"/>
      <c r="D371" s="331"/>
      <c r="E371" s="331"/>
      <c r="F371" s="331"/>
      <c r="G371" s="595"/>
      <c r="I371" s="89"/>
    </row>
    <row r="372">
      <c r="A372" s="31"/>
      <c r="B372" s="446"/>
      <c r="C372" s="31"/>
      <c r="D372" s="331"/>
      <c r="E372" s="331"/>
      <c r="F372" s="331"/>
      <c r="G372" s="595"/>
      <c r="I372" s="89"/>
    </row>
    <row r="373">
      <c r="A373" s="31"/>
      <c r="B373" s="446"/>
      <c r="C373" s="31"/>
      <c r="D373" s="331"/>
      <c r="E373" s="331"/>
      <c r="F373" s="331"/>
      <c r="G373" s="595"/>
      <c r="I373" s="89"/>
    </row>
    <row r="374">
      <c r="A374" s="31"/>
      <c r="B374" s="446"/>
      <c r="C374" s="31"/>
      <c r="D374" s="331"/>
      <c r="E374" s="331"/>
      <c r="F374" s="331"/>
      <c r="G374" s="595"/>
      <c r="I374" s="89"/>
    </row>
    <row r="375">
      <c r="A375" s="31"/>
      <c r="B375" s="446"/>
      <c r="C375" s="31"/>
      <c r="D375" s="331"/>
      <c r="E375" s="331"/>
      <c r="F375" s="331"/>
      <c r="G375" s="595"/>
      <c r="I375" s="89"/>
    </row>
    <row r="376">
      <c r="A376" s="31"/>
      <c r="B376" s="446"/>
      <c r="C376" s="31"/>
      <c r="D376" s="331"/>
      <c r="E376" s="331"/>
      <c r="F376" s="331"/>
      <c r="G376" s="595"/>
      <c r="I376" s="89"/>
    </row>
    <row r="377">
      <c r="A377" s="31"/>
      <c r="B377" s="446"/>
      <c r="C377" s="31"/>
      <c r="D377" s="331"/>
      <c r="E377" s="331"/>
      <c r="F377" s="331"/>
      <c r="G377" s="595"/>
      <c r="I377" s="89"/>
    </row>
    <row r="378">
      <c r="A378" s="31"/>
      <c r="B378" s="446"/>
      <c r="C378" s="31"/>
      <c r="D378" s="331"/>
      <c r="E378" s="331"/>
      <c r="F378" s="331"/>
      <c r="G378" s="595"/>
      <c r="I378" s="89"/>
    </row>
    <row r="379">
      <c r="A379" s="31"/>
      <c r="B379" s="446"/>
      <c r="C379" s="31"/>
      <c r="D379" s="331"/>
      <c r="E379" s="331"/>
      <c r="F379" s="331"/>
      <c r="G379" s="595"/>
      <c r="I379" s="89"/>
    </row>
    <row r="380">
      <c r="A380" s="31"/>
      <c r="B380" s="446"/>
      <c r="C380" s="31"/>
      <c r="D380" s="331"/>
      <c r="E380" s="331"/>
      <c r="F380" s="331"/>
      <c r="G380" s="595"/>
      <c r="I380" s="89"/>
    </row>
    <row r="381">
      <c r="A381" s="31"/>
      <c r="B381" s="446"/>
      <c r="C381" s="31"/>
      <c r="D381" s="331"/>
      <c r="E381" s="331"/>
      <c r="F381" s="331"/>
      <c r="G381" s="595"/>
      <c r="I381" s="89"/>
    </row>
    <row r="382">
      <c r="A382" s="31"/>
      <c r="B382" s="446"/>
      <c r="C382" s="31"/>
      <c r="D382" s="331"/>
      <c r="E382" s="331"/>
      <c r="F382" s="331"/>
      <c r="G382" s="595"/>
      <c r="I382" s="89"/>
    </row>
    <row r="383">
      <c r="A383" s="31"/>
      <c r="B383" s="446"/>
      <c r="C383" s="31"/>
      <c r="D383" s="331"/>
      <c r="E383" s="331"/>
      <c r="F383" s="331"/>
      <c r="G383" s="595"/>
      <c r="I383" s="89"/>
    </row>
    <row r="384">
      <c r="A384" s="31"/>
      <c r="B384" s="446"/>
      <c r="C384" s="31"/>
      <c r="D384" s="331"/>
      <c r="E384" s="331"/>
      <c r="F384" s="331"/>
      <c r="G384" s="595"/>
      <c r="I384" s="89"/>
    </row>
    <row r="385">
      <c r="A385" s="31"/>
      <c r="B385" s="446"/>
      <c r="C385" s="31"/>
      <c r="D385" s="331"/>
      <c r="E385" s="331"/>
      <c r="F385" s="331"/>
      <c r="G385" s="595"/>
      <c r="I385" s="89"/>
    </row>
    <row r="386">
      <c r="A386" s="31"/>
      <c r="B386" s="446"/>
      <c r="C386" s="31"/>
      <c r="D386" s="331"/>
      <c r="E386" s="331"/>
      <c r="F386" s="331"/>
      <c r="G386" s="595"/>
      <c r="I386" s="89"/>
    </row>
    <row r="387">
      <c r="A387" s="31"/>
      <c r="B387" s="446"/>
      <c r="C387" s="31"/>
      <c r="D387" s="331"/>
      <c r="E387" s="331"/>
      <c r="F387" s="331"/>
      <c r="G387" s="595"/>
      <c r="I387" s="89"/>
    </row>
    <row r="388">
      <c r="A388" s="31"/>
      <c r="B388" s="446"/>
      <c r="C388" s="31"/>
      <c r="D388" s="331"/>
      <c r="E388" s="331"/>
      <c r="F388" s="331"/>
      <c r="G388" s="595"/>
      <c r="I388" s="89"/>
    </row>
    <row r="389">
      <c r="A389" s="31"/>
      <c r="B389" s="446"/>
      <c r="C389" s="31"/>
      <c r="D389" s="331"/>
      <c r="E389" s="331"/>
      <c r="F389" s="331"/>
      <c r="G389" s="595"/>
      <c r="I389" s="89"/>
    </row>
    <row r="390">
      <c r="A390" s="31"/>
      <c r="B390" s="446"/>
      <c r="C390" s="31"/>
      <c r="D390" s="331"/>
      <c r="E390" s="331"/>
      <c r="F390" s="331"/>
      <c r="G390" s="595"/>
      <c r="I390" s="89"/>
    </row>
    <row r="391">
      <c r="A391" s="31"/>
      <c r="B391" s="446"/>
      <c r="C391" s="31"/>
      <c r="D391" s="331"/>
      <c r="E391" s="331"/>
      <c r="F391" s="331"/>
      <c r="G391" s="595"/>
      <c r="I391" s="89"/>
    </row>
    <row r="392">
      <c r="A392" s="31"/>
      <c r="B392" s="446"/>
      <c r="C392" s="31"/>
      <c r="D392" s="331"/>
      <c r="E392" s="331"/>
      <c r="F392" s="331"/>
      <c r="G392" s="595"/>
      <c r="I392" s="89"/>
    </row>
    <row r="393">
      <c r="A393" s="31"/>
      <c r="B393" s="446"/>
      <c r="C393" s="31"/>
      <c r="D393" s="331"/>
      <c r="E393" s="331"/>
      <c r="F393" s="331"/>
      <c r="G393" s="595"/>
      <c r="I393" s="89"/>
    </row>
    <row r="394">
      <c r="A394" s="31"/>
      <c r="B394" s="446"/>
      <c r="C394" s="31"/>
      <c r="D394" s="331"/>
      <c r="E394" s="331"/>
      <c r="F394" s="331"/>
      <c r="G394" s="595"/>
      <c r="I394" s="89"/>
    </row>
    <row r="395">
      <c r="A395" s="31"/>
      <c r="B395" s="446"/>
      <c r="C395" s="31"/>
      <c r="D395" s="331"/>
      <c r="E395" s="331"/>
      <c r="F395" s="331"/>
      <c r="G395" s="595"/>
      <c r="I395" s="89"/>
    </row>
    <row r="396">
      <c r="A396" s="31"/>
      <c r="B396" s="446"/>
      <c r="C396" s="31"/>
      <c r="D396" s="331"/>
      <c r="E396" s="331"/>
      <c r="F396" s="331"/>
      <c r="G396" s="595"/>
      <c r="I396" s="89"/>
    </row>
    <row r="397">
      <c r="A397" s="31"/>
      <c r="B397" s="446"/>
      <c r="C397" s="31"/>
      <c r="D397" s="331"/>
      <c r="E397" s="331"/>
      <c r="F397" s="331"/>
      <c r="G397" s="595"/>
      <c r="I397" s="89"/>
    </row>
    <row r="398">
      <c r="A398" s="31"/>
      <c r="B398" s="446"/>
      <c r="C398" s="31"/>
      <c r="D398" s="331"/>
      <c r="E398" s="331"/>
      <c r="F398" s="331"/>
      <c r="G398" s="595"/>
      <c r="I398" s="89"/>
    </row>
    <row r="399">
      <c r="A399" s="31"/>
      <c r="B399" s="446"/>
      <c r="C399" s="31"/>
      <c r="D399" s="331"/>
      <c r="E399" s="331"/>
      <c r="F399" s="331"/>
      <c r="G399" s="595"/>
      <c r="I399" s="89"/>
    </row>
    <row r="400">
      <c r="A400" s="31"/>
      <c r="B400" s="446"/>
      <c r="C400" s="31"/>
      <c r="D400" s="331"/>
      <c r="E400" s="331"/>
      <c r="F400" s="331"/>
      <c r="G400" s="595"/>
      <c r="I400" s="89"/>
    </row>
    <row r="401">
      <c r="A401" s="31"/>
      <c r="B401" s="446"/>
      <c r="C401" s="31"/>
      <c r="D401" s="331"/>
      <c r="E401" s="331"/>
      <c r="F401" s="331"/>
      <c r="G401" s="595"/>
      <c r="I401" s="89"/>
    </row>
    <row r="402">
      <c r="A402" s="31"/>
      <c r="B402" s="446"/>
      <c r="C402" s="31"/>
      <c r="D402" s="331"/>
      <c r="E402" s="331"/>
      <c r="F402" s="331"/>
      <c r="G402" s="595"/>
      <c r="I402" s="89"/>
    </row>
    <row r="403">
      <c r="A403" s="31"/>
      <c r="B403" s="446"/>
      <c r="C403" s="31"/>
      <c r="D403" s="331"/>
      <c r="E403" s="331"/>
      <c r="F403" s="331"/>
      <c r="G403" s="595"/>
      <c r="I403" s="89"/>
    </row>
    <row r="404">
      <c r="A404" s="31"/>
      <c r="B404" s="446"/>
      <c r="C404" s="31"/>
      <c r="D404" s="331"/>
      <c r="E404" s="331"/>
      <c r="F404" s="331"/>
      <c r="G404" s="595"/>
      <c r="I404" s="89"/>
    </row>
    <row r="405">
      <c r="A405" s="31"/>
      <c r="B405" s="446"/>
      <c r="C405" s="31"/>
      <c r="D405" s="331"/>
      <c r="E405" s="331"/>
      <c r="F405" s="331"/>
      <c r="G405" s="595"/>
      <c r="I405" s="89"/>
    </row>
    <row r="406">
      <c r="A406" s="31"/>
      <c r="B406" s="446"/>
      <c r="C406" s="31"/>
      <c r="D406" s="331"/>
      <c r="E406" s="331"/>
      <c r="F406" s="331"/>
      <c r="G406" s="595"/>
      <c r="I406" s="89"/>
    </row>
    <row r="407">
      <c r="A407" s="31"/>
      <c r="B407" s="446"/>
      <c r="C407" s="31"/>
      <c r="D407" s="331"/>
      <c r="E407" s="331"/>
      <c r="F407" s="331"/>
      <c r="G407" s="595"/>
      <c r="I407" s="89"/>
    </row>
    <row r="408">
      <c r="A408" s="31"/>
      <c r="B408" s="446"/>
      <c r="C408" s="31"/>
      <c r="D408" s="331"/>
      <c r="E408" s="331"/>
      <c r="F408" s="331"/>
      <c r="G408" s="595"/>
      <c r="I408" s="89"/>
    </row>
    <row r="409">
      <c r="A409" s="31"/>
      <c r="B409" s="446"/>
      <c r="C409" s="31"/>
      <c r="D409" s="331"/>
      <c r="E409" s="331"/>
      <c r="F409" s="331"/>
      <c r="G409" s="595"/>
      <c r="I409" s="89"/>
    </row>
    <row r="410">
      <c r="A410" s="31"/>
      <c r="B410" s="446"/>
      <c r="C410" s="31"/>
      <c r="D410" s="331"/>
      <c r="E410" s="331"/>
      <c r="F410" s="331"/>
      <c r="G410" s="595"/>
      <c r="I410" s="89"/>
    </row>
    <row r="411">
      <c r="A411" s="31"/>
      <c r="B411" s="446"/>
      <c r="C411" s="31"/>
      <c r="D411" s="331"/>
      <c r="E411" s="331"/>
      <c r="F411" s="331"/>
      <c r="G411" s="595"/>
      <c r="I411" s="89"/>
    </row>
    <row r="412">
      <c r="A412" s="31"/>
      <c r="B412" s="446"/>
      <c r="C412" s="31"/>
      <c r="D412" s="331"/>
      <c r="E412" s="331"/>
      <c r="F412" s="331"/>
      <c r="G412" s="595"/>
      <c r="I412" s="89"/>
    </row>
    <row r="413">
      <c r="A413" s="31"/>
      <c r="B413" s="446"/>
      <c r="C413" s="31"/>
      <c r="D413" s="331"/>
      <c r="E413" s="331"/>
      <c r="F413" s="331"/>
      <c r="G413" s="595"/>
      <c r="I413" s="89"/>
    </row>
    <row r="414">
      <c r="A414" s="31"/>
      <c r="B414" s="446"/>
      <c r="C414" s="31"/>
      <c r="D414" s="331"/>
      <c r="E414" s="331"/>
      <c r="F414" s="331"/>
      <c r="G414" s="595"/>
      <c r="I414" s="89"/>
    </row>
    <row r="415">
      <c r="A415" s="31"/>
      <c r="B415" s="446"/>
      <c r="C415" s="31"/>
      <c r="D415" s="331"/>
      <c r="E415" s="331"/>
      <c r="F415" s="331"/>
      <c r="G415" s="595"/>
      <c r="I415" s="89"/>
    </row>
    <row r="416">
      <c r="A416" s="31"/>
      <c r="B416" s="446"/>
      <c r="C416" s="31"/>
      <c r="D416" s="331"/>
      <c r="E416" s="331"/>
      <c r="F416" s="331"/>
      <c r="G416" s="595"/>
      <c r="I416" s="89"/>
    </row>
    <row r="417">
      <c r="A417" s="31"/>
      <c r="B417" s="446"/>
      <c r="C417" s="31"/>
      <c r="D417" s="331"/>
      <c r="E417" s="331"/>
      <c r="F417" s="331"/>
      <c r="G417" s="595"/>
      <c r="I417" s="89"/>
    </row>
    <row r="418">
      <c r="A418" s="31"/>
      <c r="B418" s="446"/>
      <c r="C418" s="31"/>
      <c r="D418" s="331"/>
      <c r="E418" s="331"/>
      <c r="F418" s="331"/>
      <c r="G418" s="595"/>
      <c r="I418" s="89"/>
    </row>
    <row r="419">
      <c r="A419" s="31"/>
      <c r="B419" s="446"/>
      <c r="C419" s="31"/>
      <c r="D419" s="331"/>
      <c r="E419" s="331"/>
      <c r="F419" s="331"/>
      <c r="G419" s="595"/>
      <c r="I419" s="89"/>
    </row>
    <row r="420">
      <c r="A420" s="31"/>
      <c r="B420" s="446"/>
      <c r="C420" s="31"/>
      <c r="D420" s="331"/>
      <c r="E420" s="331"/>
      <c r="F420" s="331"/>
      <c r="G420" s="595"/>
      <c r="I420" s="89"/>
    </row>
    <row r="421">
      <c r="A421" s="31"/>
      <c r="B421" s="446"/>
      <c r="C421" s="31"/>
      <c r="D421" s="331"/>
      <c r="E421" s="331"/>
      <c r="F421" s="331"/>
      <c r="G421" s="595"/>
      <c r="I421" s="89"/>
    </row>
    <row r="422">
      <c r="A422" s="31"/>
      <c r="B422" s="446"/>
      <c r="C422" s="31"/>
      <c r="D422" s="331"/>
      <c r="E422" s="331"/>
      <c r="F422" s="331"/>
      <c r="G422" s="595"/>
      <c r="I422" s="89"/>
    </row>
    <row r="423">
      <c r="A423" s="31"/>
      <c r="B423" s="446"/>
      <c r="C423" s="31"/>
      <c r="D423" s="331"/>
      <c r="E423" s="331"/>
      <c r="F423" s="331"/>
      <c r="G423" s="595"/>
      <c r="I423" s="89"/>
    </row>
    <row r="424">
      <c r="A424" s="31"/>
      <c r="B424" s="446"/>
      <c r="C424" s="31"/>
      <c r="D424" s="331"/>
      <c r="E424" s="331"/>
      <c r="F424" s="331"/>
      <c r="G424" s="595"/>
      <c r="I424" s="89"/>
    </row>
    <row r="425">
      <c r="A425" s="31"/>
      <c r="B425" s="446"/>
      <c r="C425" s="31"/>
      <c r="D425" s="331"/>
      <c r="E425" s="331"/>
      <c r="F425" s="331"/>
      <c r="G425" s="595"/>
      <c r="I425" s="89"/>
    </row>
    <row r="426">
      <c r="A426" s="31"/>
      <c r="B426" s="446"/>
      <c r="C426" s="31"/>
      <c r="D426" s="331"/>
      <c r="E426" s="331"/>
      <c r="F426" s="331"/>
      <c r="G426" s="595"/>
      <c r="I426" s="89"/>
    </row>
    <row r="427">
      <c r="A427" s="31"/>
      <c r="B427" s="446"/>
      <c r="C427" s="31"/>
      <c r="D427" s="331"/>
      <c r="E427" s="331"/>
      <c r="F427" s="331"/>
      <c r="G427" s="595"/>
      <c r="I427" s="89"/>
    </row>
    <row r="428">
      <c r="A428" s="31"/>
      <c r="B428" s="446"/>
      <c r="C428" s="31"/>
      <c r="D428" s="331"/>
      <c r="E428" s="331"/>
      <c r="F428" s="331"/>
      <c r="G428" s="595"/>
      <c r="I428" s="89"/>
    </row>
    <row r="429">
      <c r="A429" s="31"/>
      <c r="B429" s="446"/>
      <c r="C429" s="31"/>
      <c r="D429" s="331"/>
      <c r="E429" s="331"/>
      <c r="F429" s="331"/>
      <c r="G429" s="595"/>
      <c r="I429" s="89"/>
    </row>
    <row r="430">
      <c r="A430" s="31"/>
      <c r="B430" s="446"/>
      <c r="C430" s="31"/>
      <c r="D430" s="331"/>
      <c r="E430" s="331"/>
      <c r="F430" s="331"/>
      <c r="G430" s="595"/>
      <c r="I430" s="89"/>
    </row>
    <row r="431">
      <c r="A431" s="31"/>
      <c r="B431" s="446"/>
      <c r="C431" s="31"/>
      <c r="D431" s="331"/>
      <c r="E431" s="331"/>
      <c r="F431" s="331"/>
      <c r="G431" s="595"/>
      <c r="I431" s="89"/>
    </row>
    <row r="432">
      <c r="A432" s="31"/>
      <c r="B432" s="446"/>
      <c r="C432" s="31"/>
      <c r="D432" s="331"/>
      <c r="E432" s="331"/>
      <c r="F432" s="331"/>
      <c r="G432" s="595"/>
      <c r="I432" s="89"/>
    </row>
    <row r="433">
      <c r="A433" s="31"/>
      <c r="B433" s="446"/>
      <c r="C433" s="31"/>
      <c r="D433" s="331"/>
      <c r="E433" s="331"/>
      <c r="F433" s="331"/>
      <c r="G433" s="595"/>
      <c r="I433" s="89"/>
    </row>
    <row r="434">
      <c r="A434" s="31"/>
      <c r="B434" s="446"/>
      <c r="C434" s="31"/>
      <c r="D434" s="331"/>
      <c r="E434" s="331"/>
      <c r="F434" s="331"/>
      <c r="G434" s="595"/>
      <c r="I434" s="89"/>
    </row>
    <row r="435">
      <c r="A435" s="31"/>
      <c r="B435" s="446"/>
      <c r="C435" s="31"/>
      <c r="D435" s="331"/>
      <c r="E435" s="331"/>
      <c r="F435" s="331"/>
      <c r="G435" s="595"/>
      <c r="I435" s="89"/>
    </row>
    <row r="436">
      <c r="A436" s="31"/>
      <c r="B436" s="446"/>
      <c r="C436" s="31"/>
      <c r="D436" s="331"/>
      <c r="E436" s="331"/>
      <c r="F436" s="331"/>
      <c r="G436" s="595"/>
      <c r="I436" s="89"/>
    </row>
    <row r="437">
      <c r="A437" s="31"/>
      <c r="B437" s="446"/>
      <c r="C437" s="31"/>
      <c r="D437" s="331"/>
      <c r="E437" s="331"/>
      <c r="F437" s="331"/>
      <c r="G437" s="595"/>
      <c r="I437" s="89"/>
    </row>
    <row r="438">
      <c r="A438" s="31"/>
      <c r="B438" s="446"/>
      <c r="C438" s="31"/>
      <c r="D438" s="331"/>
      <c r="E438" s="331"/>
      <c r="F438" s="331"/>
      <c r="G438" s="595"/>
      <c r="I438" s="89"/>
    </row>
    <row r="439">
      <c r="A439" s="31"/>
      <c r="B439" s="446"/>
      <c r="C439" s="31"/>
      <c r="D439" s="331"/>
      <c r="E439" s="331"/>
      <c r="F439" s="331"/>
      <c r="G439" s="595"/>
      <c r="I439" s="89"/>
    </row>
    <row r="440">
      <c r="A440" s="31"/>
      <c r="B440" s="446"/>
      <c r="C440" s="31"/>
      <c r="D440" s="331"/>
      <c r="E440" s="331"/>
      <c r="F440" s="331"/>
      <c r="G440" s="595"/>
      <c r="I440" s="89"/>
    </row>
    <row r="441">
      <c r="A441" s="31"/>
      <c r="B441" s="446"/>
      <c r="C441" s="31"/>
      <c r="D441" s="331"/>
      <c r="E441" s="331"/>
      <c r="F441" s="331"/>
      <c r="G441" s="595"/>
      <c r="I441" s="89"/>
    </row>
    <row r="442">
      <c r="A442" s="31"/>
      <c r="B442" s="446"/>
      <c r="C442" s="31"/>
      <c r="D442" s="331"/>
      <c r="E442" s="331"/>
      <c r="F442" s="331"/>
      <c r="G442" s="595"/>
      <c r="I442" s="89"/>
    </row>
    <row r="443">
      <c r="A443" s="31"/>
      <c r="B443" s="446"/>
      <c r="C443" s="31"/>
      <c r="D443" s="331"/>
      <c r="E443" s="331"/>
      <c r="F443" s="331"/>
      <c r="G443" s="595"/>
      <c r="I443" s="89"/>
    </row>
    <row r="444">
      <c r="A444" s="31"/>
      <c r="B444" s="446"/>
      <c r="C444" s="31"/>
      <c r="D444" s="331"/>
      <c r="E444" s="331"/>
      <c r="F444" s="331"/>
      <c r="G444" s="595"/>
      <c r="I444" s="89"/>
    </row>
    <row r="445">
      <c r="A445" s="31"/>
      <c r="B445" s="446"/>
      <c r="C445" s="31"/>
      <c r="D445" s="331"/>
      <c r="E445" s="331"/>
      <c r="F445" s="331"/>
      <c r="G445" s="595"/>
      <c r="I445" s="89"/>
    </row>
    <row r="446">
      <c r="A446" s="31"/>
      <c r="B446" s="446"/>
      <c r="C446" s="31"/>
      <c r="D446" s="331"/>
      <c r="E446" s="331"/>
      <c r="F446" s="331"/>
      <c r="G446" s="595"/>
      <c r="I446" s="89"/>
    </row>
    <row r="447">
      <c r="A447" s="31"/>
      <c r="B447" s="446"/>
      <c r="C447" s="31"/>
      <c r="D447" s="331"/>
      <c r="E447" s="331"/>
      <c r="F447" s="331"/>
      <c r="G447" s="595"/>
      <c r="I447" s="89"/>
    </row>
    <row r="448">
      <c r="A448" s="31"/>
      <c r="B448" s="446"/>
      <c r="C448" s="31"/>
      <c r="D448" s="331"/>
      <c r="E448" s="331"/>
      <c r="F448" s="331"/>
      <c r="G448" s="595"/>
      <c r="I448" s="89"/>
    </row>
    <row r="449">
      <c r="A449" s="31"/>
      <c r="B449" s="446"/>
      <c r="C449" s="31"/>
      <c r="D449" s="331"/>
      <c r="E449" s="331"/>
      <c r="F449" s="331"/>
      <c r="G449" s="595"/>
      <c r="I449" s="89"/>
    </row>
    <row r="450">
      <c r="A450" s="31"/>
      <c r="B450" s="446"/>
      <c r="C450" s="31"/>
      <c r="D450" s="331"/>
      <c r="E450" s="331"/>
      <c r="F450" s="331"/>
      <c r="G450" s="595"/>
      <c r="I450" s="89"/>
    </row>
    <row r="451">
      <c r="A451" s="31"/>
      <c r="B451" s="446"/>
      <c r="C451" s="31"/>
      <c r="D451" s="331"/>
      <c r="E451" s="331"/>
      <c r="F451" s="331"/>
      <c r="G451" s="595"/>
      <c r="I451" s="89"/>
    </row>
    <row r="452">
      <c r="A452" s="31"/>
      <c r="B452" s="446"/>
      <c r="C452" s="31"/>
      <c r="D452" s="331"/>
      <c r="E452" s="331"/>
      <c r="F452" s="331"/>
      <c r="G452" s="595"/>
      <c r="I452" s="89"/>
    </row>
    <row r="453">
      <c r="A453" s="31"/>
      <c r="B453" s="446"/>
      <c r="C453" s="31"/>
      <c r="D453" s="331"/>
      <c r="E453" s="331"/>
      <c r="F453" s="331"/>
      <c r="G453" s="595"/>
      <c r="I453" s="89"/>
    </row>
    <row r="454">
      <c r="A454" s="31"/>
      <c r="B454" s="446"/>
      <c r="C454" s="31"/>
      <c r="D454" s="331"/>
      <c r="E454" s="331"/>
      <c r="F454" s="331"/>
      <c r="G454" s="595"/>
      <c r="I454" s="89"/>
    </row>
    <row r="455">
      <c r="A455" s="31"/>
      <c r="B455" s="446"/>
      <c r="C455" s="31"/>
      <c r="D455" s="331"/>
      <c r="E455" s="331"/>
      <c r="F455" s="331"/>
      <c r="G455" s="595"/>
      <c r="I455" s="89"/>
    </row>
    <row r="456">
      <c r="A456" s="31"/>
      <c r="B456" s="446"/>
      <c r="C456" s="31"/>
      <c r="D456" s="331"/>
      <c r="E456" s="331"/>
      <c r="F456" s="331"/>
      <c r="G456" s="595"/>
      <c r="I456" s="89"/>
    </row>
    <row r="457">
      <c r="A457" s="31"/>
      <c r="B457" s="446"/>
      <c r="C457" s="31"/>
      <c r="D457" s="331"/>
      <c r="E457" s="331"/>
      <c r="F457" s="331"/>
      <c r="G457" s="595"/>
      <c r="I457" s="89"/>
    </row>
    <row r="458">
      <c r="A458" s="31"/>
      <c r="B458" s="446"/>
      <c r="C458" s="31"/>
      <c r="D458" s="331"/>
      <c r="E458" s="331"/>
      <c r="F458" s="331"/>
      <c r="G458" s="595"/>
      <c r="I458" s="89"/>
    </row>
    <row r="459">
      <c r="A459" s="31"/>
      <c r="B459" s="446"/>
      <c r="C459" s="31"/>
      <c r="D459" s="331"/>
      <c r="E459" s="331"/>
      <c r="F459" s="331"/>
      <c r="G459" s="595"/>
      <c r="I459" s="89"/>
    </row>
    <row r="460">
      <c r="A460" s="31"/>
      <c r="B460" s="446"/>
      <c r="C460" s="31"/>
      <c r="D460" s="331"/>
      <c r="E460" s="331"/>
      <c r="F460" s="331"/>
      <c r="G460" s="595"/>
      <c r="I460" s="89"/>
    </row>
    <row r="461">
      <c r="A461" s="31"/>
      <c r="B461" s="446"/>
      <c r="C461" s="31"/>
      <c r="D461" s="331"/>
      <c r="E461" s="331"/>
      <c r="F461" s="331"/>
      <c r="G461" s="595"/>
      <c r="I461" s="89"/>
    </row>
    <row r="462">
      <c r="A462" s="31"/>
      <c r="B462" s="446"/>
      <c r="C462" s="31"/>
      <c r="D462" s="331"/>
      <c r="E462" s="331"/>
      <c r="F462" s="331"/>
      <c r="G462" s="595"/>
      <c r="I462" s="89"/>
    </row>
    <row r="463">
      <c r="A463" s="31"/>
      <c r="B463" s="446"/>
      <c r="C463" s="31"/>
      <c r="D463" s="331"/>
      <c r="E463" s="331"/>
      <c r="F463" s="331"/>
      <c r="G463" s="595"/>
      <c r="I463" s="89"/>
    </row>
    <row r="464">
      <c r="A464" s="31"/>
      <c r="B464" s="446"/>
      <c r="C464" s="31"/>
      <c r="D464" s="331"/>
      <c r="E464" s="331"/>
      <c r="F464" s="331"/>
      <c r="G464" s="595"/>
      <c r="I464" s="89"/>
    </row>
    <row r="465">
      <c r="A465" s="31"/>
      <c r="B465" s="446"/>
      <c r="C465" s="31"/>
      <c r="D465" s="331"/>
      <c r="E465" s="331"/>
      <c r="F465" s="331"/>
      <c r="G465" s="595"/>
      <c r="I465" s="89"/>
    </row>
    <row r="466">
      <c r="A466" s="31"/>
      <c r="B466" s="446"/>
      <c r="C466" s="31"/>
      <c r="D466" s="331"/>
      <c r="E466" s="331"/>
      <c r="F466" s="331"/>
      <c r="G466" s="595"/>
      <c r="I466" s="89"/>
    </row>
    <row r="467">
      <c r="A467" s="31"/>
      <c r="B467" s="446"/>
      <c r="C467" s="31"/>
      <c r="D467" s="331"/>
      <c r="E467" s="331"/>
      <c r="F467" s="331"/>
      <c r="G467" s="595"/>
      <c r="I467" s="89"/>
    </row>
    <row r="468">
      <c r="A468" s="31"/>
      <c r="B468" s="446"/>
      <c r="C468" s="31"/>
      <c r="D468" s="331"/>
      <c r="E468" s="331"/>
      <c r="F468" s="331"/>
      <c r="G468" s="595"/>
      <c r="I468" s="89"/>
    </row>
    <row r="469">
      <c r="A469" s="31"/>
      <c r="B469" s="446"/>
      <c r="C469" s="31"/>
      <c r="D469" s="331"/>
      <c r="E469" s="331"/>
      <c r="F469" s="331"/>
      <c r="G469" s="595"/>
      <c r="I469" s="89"/>
    </row>
    <row r="470">
      <c r="A470" s="31"/>
      <c r="B470" s="446"/>
      <c r="C470" s="31"/>
      <c r="D470" s="331"/>
      <c r="E470" s="331"/>
      <c r="F470" s="331"/>
      <c r="G470" s="595"/>
      <c r="I470" s="89"/>
    </row>
    <row r="471">
      <c r="A471" s="31"/>
      <c r="B471" s="446"/>
      <c r="C471" s="31"/>
      <c r="D471" s="331"/>
      <c r="E471" s="331"/>
      <c r="F471" s="331"/>
      <c r="G471" s="595"/>
      <c r="I471" s="89"/>
    </row>
    <row r="472">
      <c r="A472" s="31"/>
      <c r="B472" s="446"/>
      <c r="C472" s="31"/>
      <c r="D472" s="331"/>
      <c r="E472" s="331"/>
      <c r="F472" s="331"/>
      <c r="G472" s="595"/>
      <c r="I472" s="89"/>
    </row>
    <row r="473">
      <c r="A473" s="31"/>
      <c r="B473" s="446"/>
      <c r="C473" s="31"/>
      <c r="D473" s="331"/>
      <c r="E473" s="331"/>
      <c r="F473" s="331"/>
      <c r="G473" s="595"/>
      <c r="I473" s="89"/>
    </row>
    <row r="474">
      <c r="A474" s="31"/>
      <c r="B474" s="446"/>
      <c r="C474" s="31"/>
      <c r="D474" s="331"/>
      <c r="E474" s="331"/>
      <c r="F474" s="331"/>
      <c r="G474" s="595"/>
      <c r="I474" s="89"/>
    </row>
    <row r="475">
      <c r="A475" s="31"/>
      <c r="B475" s="446"/>
      <c r="C475" s="31"/>
      <c r="D475" s="331"/>
      <c r="E475" s="331"/>
      <c r="F475" s="331"/>
      <c r="G475" s="595"/>
      <c r="I475" s="89"/>
    </row>
    <row r="476">
      <c r="A476" s="31"/>
      <c r="B476" s="446"/>
      <c r="C476" s="31"/>
      <c r="D476" s="331"/>
      <c r="E476" s="331"/>
      <c r="F476" s="331"/>
      <c r="G476" s="595"/>
      <c r="I476" s="89"/>
    </row>
    <row r="477">
      <c r="A477" s="31"/>
      <c r="B477" s="446"/>
      <c r="C477" s="31"/>
      <c r="D477" s="331"/>
      <c r="E477" s="331"/>
      <c r="F477" s="331"/>
      <c r="G477" s="595"/>
      <c r="I477" s="89"/>
    </row>
    <row r="478">
      <c r="A478" s="31"/>
      <c r="B478" s="446"/>
      <c r="C478" s="31"/>
      <c r="D478" s="331"/>
      <c r="E478" s="331"/>
      <c r="F478" s="331"/>
      <c r="G478" s="595"/>
      <c r="I478" s="89"/>
    </row>
    <row r="479">
      <c r="A479" s="31"/>
      <c r="B479" s="446"/>
      <c r="C479" s="31"/>
      <c r="D479" s="331"/>
      <c r="E479" s="331"/>
      <c r="F479" s="331"/>
      <c r="G479" s="595"/>
      <c r="I479" s="89"/>
    </row>
    <row r="480">
      <c r="A480" s="31"/>
      <c r="B480" s="446"/>
      <c r="C480" s="31"/>
      <c r="D480" s="331"/>
      <c r="E480" s="331"/>
      <c r="F480" s="331"/>
      <c r="G480" s="595"/>
      <c r="I480" s="89"/>
    </row>
    <row r="481">
      <c r="A481" s="31"/>
      <c r="B481" s="446"/>
      <c r="C481" s="31"/>
      <c r="D481" s="331"/>
      <c r="E481" s="331"/>
      <c r="F481" s="331"/>
      <c r="G481" s="595"/>
      <c r="I481" s="89"/>
    </row>
    <row r="482">
      <c r="A482" s="31"/>
      <c r="B482" s="446"/>
      <c r="C482" s="31"/>
      <c r="D482" s="331"/>
      <c r="E482" s="331"/>
      <c r="F482" s="331"/>
      <c r="G482" s="595"/>
      <c r="I482" s="89"/>
    </row>
    <row r="483">
      <c r="A483" s="31"/>
      <c r="B483" s="446"/>
      <c r="C483" s="31"/>
      <c r="D483" s="331"/>
      <c r="E483" s="331"/>
      <c r="F483" s="331"/>
      <c r="G483" s="595"/>
      <c r="I483" s="89"/>
    </row>
    <row r="484">
      <c r="A484" s="31"/>
      <c r="B484" s="446"/>
      <c r="C484" s="31"/>
      <c r="D484" s="331"/>
      <c r="E484" s="331"/>
      <c r="F484" s="331"/>
      <c r="G484" s="595"/>
      <c r="I484" s="89"/>
    </row>
    <row r="485">
      <c r="A485" s="31"/>
      <c r="B485" s="446"/>
      <c r="C485" s="31"/>
      <c r="D485" s="331"/>
      <c r="E485" s="331"/>
      <c r="F485" s="331"/>
      <c r="G485" s="595"/>
      <c r="I485" s="89"/>
    </row>
    <row r="486">
      <c r="A486" s="31"/>
      <c r="B486" s="446"/>
      <c r="C486" s="31"/>
      <c r="D486" s="331"/>
      <c r="E486" s="331"/>
      <c r="F486" s="331"/>
      <c r="G486" s="595"/>
      <c r="I486" s="89"/>
    </row>
    <row r="487">
      <c r="A487" s="31"/>
      <c r="B487" s="446"/>
      <c r="C487" s="31"/>
      <c r="D487" s="331"/>
      <c r="E487" s="331"/>
      <c r="F487" s="331"/>
      <c r="G487" s="595"/>
      <c r="I487" s="89"/>
    </row>
    <row r="488">
      <c r="A488" s="31"/>
      <c r="B488" s="446"/>
      <c r="C488" s="31"/>
      <c r="D488" s="331"/>
      <c r="E488" s="331"/>
      <c r="F488" s="331"/>
      <c r="G488" s="595"/>
      <c r="I488" s="89"/>
    </row>
    <row r="489">
      <c r="A489" s="31"/>
      <c r="B489" s="446"/>
      <c r="C489" s="31"/>
      <c r="D489" s="331"/>
      <c r="E489" s="331"/>
      <c r="F489" s="331"/>
      <c r="G489" s="595"/>
      <c r="I489" s="89"/>
    </row>
    <row r="490">
      <c r="A490" s="31"/>
      <c r="B490" s="446"/>
      <c r="C490" s="31"/>
      <c r="D490" s="331"/>
      <c r="E490" s="331"/>
      <c r="F490" s="331"/>
      <c r="G490" s="595"/>
      <c r="I490" s="89"/>
    </row>
    <row r="491">
      <c r="A491" s="31"/>
      <c r="B491" s="446"/>
      <c r="C491" s="31"/>
      <c r="D491" s="331"/>
      <c r="E491" s="331"/>
      <c r="F491" s="331"/>
      <c r="G491" s="595"/>
      <c r="I491" s="89"/>
    </row>
    <row r="492">
      <c r="A492" s="31"/>
      <c r="B492" s="446"/>
      <c r="C492" s="31"/>
      <c r="D492" s="331"/>
      <c r="E492" s="331"/>
      <c r="F492" s="331"/>
      <c r="G492" s="595"/>
      <c r="I492" s="89"/>
    </row>
    <row r="493">
      <c r="A493" s="31"/>
      <c r="B493" s="446"/>
      <c r="C493" s="31"/>
      <c r="D493" s="331"/>
      <c r="E493" s="331"/>
      <c r="F493" s="331"/>
      <c r="G493" s="595"/>
      <c r="I493" s="89"/>
    </row>
    <row r="494">
      <c r="A494" s="31"/>
      <c r="B494" s="446"/>
      <c r="C494" s="31"/>
      <c r="D494" s="331"/>
      <c r="E494" s="331"/>
      <c r="F494" s="331"/>
      <c r="G494" s="595"/>
      <c r="I494" s="89"/>
    </row>
    <row r="495">
      <c r="A495" s="31"/>
      <c r="B495" s="446"/>
      <c r="C495" s="31"/>
      <c r="D495" s="331"/>
      <c r="E495" s="331"/>
      <c r="F495" s="331"/>
      <c r="G495" s="595"/>
      <c r="I495" s="89"/>
    </row>
    <row r="496">
      <c r="A496" s="31"/>
      <c r="B496" s="446"/>
      <c r="C496" s="31"/>
      <c r="D496" s="331"/>
      <c r="E496" s="331"/>
      <c r="F496" s="331"/>
      <c r="G496" s="595"/>
      <c r="I496" s="89"/>
    </row>
    <row r="497">
      <c r="A497" s="31"/>
      <c r="B497" s="446"/>
      <c r="C497" s="31"/>
      <c r="D497" s="331"/>
      <c r="E497" s="331"/>
      <c r="F497" s="331"/>
      <c r="G497" s="595"/>
      <c r="I497" s="89"/>
    </row>
    <row r="498">
      <c r="A498" s="31"/>
      <c r="B498" s="446"/>
      <c r="C498" s="31"/>
      <c r="D498" s="331"/>
      <c r="E498" s="331"/>
      <c r="F498" s="331"/>
      <c r="G498" s="595"/>
      <c r="I498" s="89"/>
    </row>
    <row r="499">
      <c r="A499" s="31"/>
      <c r="B499" s="446"/>
      <c r="C499" s="31"/>
      <c r="D499" s="331"/>
      <c r="E499" s="331"/>
      <c r="F499" s="331"/>
      <c r="G499" s="595"/>
      <c r="I499" s="89"/>
    </row>
    <row r="500">
      <c r="A500" s="31"/>
      <c r="B500" s="446"/>
      <c r="C500" s="31"/>
      <c r="D500" s="331"/>
      <c r="E500" s="331"/>
      <c r="F500" s="331"/>
      <c r="G500" s="595"/>
      <c r="I500" s="89"/>
    </row>
    <row r="501">
      <c r="A501" s="31"/>
      <c r="B501" s="446"/>
      <c r="C501" s="31"/>
      <c r="D501" s="331"/>
      <c r="E501" s="331"/>
      <c r="F501" s="331"/>
      <c r="G501" s="595"/>
      <c r="I501" s="89"/>
    </row>
    <row r="502">
      <c r="A502" s="31"/>
      <c r="B502" s="446"/>
      <c r="C502" s="31"/>
      <c r="D502" s="331"/>
      <c r="E502" s="331"/>
      <c r="F502" s="331"/>
      <c r="G502" s="595"/>
      <c r="I502" s="89"/>
    </row>
    <row r="503">
      <c r="A503" s="31"/>
      <c r="B503" s="446"/>
      <c r="C503" s="31"/>
      <c r="D503" s="331"/>
      <c r="E503" s="331"/>
      <c r="F503" s="331"/>
      <c r="G503" s="595"/>
      <c r="I503" s="89"/>
    </row>
    <row r="504">
      <c r="A504" s="31"/>
      <c r="B504" s="446"/>
      <c r="C504" s="31"/>
      <c r="D504" s="331"/>
      <c r="E504" s="331"/>
      <c r="F504" s="331"/>
      <c r="G504" s="595"/>
      <c r="I504" s="89"/>
    </row>
    <row r="505">
      <c r="A505" s="31"/>
      <c r="B505" s="446"/>
      <c r="C505" s="31"/>
      <c r="D505" s="331"/>
      <c r="E505" s="331"/>
      <c r="F505" s="331"/>
      <c r="G505" s="595"/>
      <c r="I505" s="89"/>
    </row>
    <row r="506">
      <c r="A506" s="31"/>
      <c r="B506" s="446"/>
      <c r="C506" s="31"/>
      <c r="D506" s="331"/>
      <c r="E506" s="331"/>
      <c r="F506" s="331"/>
      <c r="G506" s="595"/>
      <c r="I506" s="89"/>
    </row>
    <row r="507">
      <c r="A507" s="31"/>
      <c r="B507" s="446"/>
      <c r="C507" s="31"/>
      <c r="D507" s="331"/>
      <c r="E507" s="331"/>
      <c r="F507" s="331"/>
      <c r="G507" s="595"/>
      <c r="I507" s="89"/>
    </row>
    <row r="508">
      <c r="A508" s="31"/>
      <c r="B508" s="446"/>
      <c r="C508" s="31"/>
      <c r="D508" s="331"/>
      <c r="E508" s="331"/>
      <c r="F508" s="331"/>
      <c r="G508" s="595"/>
      <c r="I508" s="89"/>
    </row>
    <row r="509">
      <c r="A509" s="31"/>
      <c r="B509" s="446"/>
      <c r="C509" s="31"/>
      <c r="D509" s="331"/>
      <c r="E509" s="331"/>
      <c r="F509" s="331"/>
      <c r="G509" s="595"/>
      <c r="I509" s="89"/>
    </row>
    <row r="510">
      <c r="A510" s="31"/>
      <c r="B510" s="446"/>
      <c r="C510" s="31"/>
      <c r="D510" s="331"/>
      <c r="E510" s="331"/>
      <c r="F510" s="331"/>
      <c r="G510" s="595"/>
      <c r="I510" s="89"/>
    </row>
    <row r="511">
      <c r="A511" s="31"/>
      <c r="B511" s="446"/>
      <c r="C511" s="31"/>
      <c r="D511" s="331"/>
      <c r="E511" s="331"/>
      <c r="F511" s="331"/>
      <c r="G511" s="595"/>
      <c r="I511" s="89"/>
    </row>
    <row r="512">
      <c r="A512" s="31"/>
      <c r="B512" s="446"/>
      <c r="C512" s="31"/>
      <c r="D512" s="331"/>
      <c r="E512" s="331"/>
      <c r="F512" s="331"/>
      <c r="G512" s="595"/>
      <c r="I512" s="89"/>
    </row>
    <row r="513">
      <c r="A513" s="31"/>
      <c r="B513" s="446"/>
      <c r="C513" s="31"/>
      <c r="D513" s="331"/>
      <c r="E513" s="331"/>
      <c r="F513" s="331"/>
      <c r="G513" s="595"/>
      <c r="I513" s="89"/>
    </row>
    <row r="514">
      <c r="A514" s="31"/>
      <c r="B514" s="446"/>
      <c r="C514" s="31"/>
      <c r="D514" s="331"/>
      <c r="E514" s="331"/>
      <c r="F514" s="331"/>
      <c r="G514" s="595"/>
      <c r="I514" s="89"/>
    </row>
    <row r="515">
      <c r="A515" s="31"/>
      <c r="B515" s="446"/>
      <c r="C515" s="31"/>
      <c r="D515" s="331"/>
      <c r="E515" s="331"/>
      <c r="F515" s="331"/>
      <c r="G515" s="595"/>
      <c r="I515" s="89"/>
    </row>
    <row r="516">
      <c r="A516" s="31"/>
      <c r="B516" s="446"/>
      <c r="C516" s="31"/>
      <c r="D516" s="331"/>
      <c r="E516" s="331"/>
      <c r="F516" s="331"/>
      <c r="G516" s="595"/>
      <c r="I516" s="89"/>
    </row>
    <row r="517">
      <c r="A517" s="31"/>
      <c r="B517" s="446"/>
      <c r="C517" s="31"/>
      <c r="D517" s="331"/>
      <c r="E517" s="331"/>
      <c r="F517" s="331"/>
      <c r="G517" s="595"/>
      <c r="I517" s="89"/>
    </row>
    <row r="518">
      <c r="A518" s="31"/>
      <c r="B518" s="446"/>
      <c r="C518" s="31"/>
      <c r="D518" s="331"/>
      <c r="E518" s="331"/>
      <c r="F518" s="331"/>
      <c r="G518" s="595"/>
      <c r="I518" s="89"/>
    </row>
    <row r="519">
      <c r="A519" s="31"/>
      <c r="B519" s="446"/>
      <c r="C519" s="31"/>
      <c r="D519" s="331"/>
      <c r="E519" s="331"/>
      <c r="F519" s="331"/>
      <c r="G519" s="595"/>
      <c r="I519" s="89"/>
    </row>
    <row r="520">
      <c r="A520" s="31"/>
      <c r="B520" s="446"/>
      <c r="C520" s="31"/>
      <c r="D520" s="331"/>
      <c r="E520" s="331"/>
      <c r="F520" s="331"/>
      <c r="G520" s="595"/>
      <c r="I520" s="89"/>
    </row>
    <row r="521">
      <c r="A521" s="31"/>
      <c r="B521" s="446"/>
      <c r="C521" s="31"/>
      <c r="D521" s="331"/>
      <c r="E521" s="331"/>
      <c r="F521" s="331"/>
      <c r="G521" s="595"/>
      <c r="I521" s="89"/>
    </row>
    <row r="522">
      <c r="A522" s="31"/>
      <c r="B522" s="446"/>
      <c r="C522" s="31"/>
      <c r="D522" s="331"/>
      <c r="E522" s="331"/>
      <c r="F522" s="331"/>
      <c r="G522" s="595"/>
      <c r="I522" s="89"/>
    </row>
    <row r="523">
      <c r="A523" s="31"/>
      <c r="B523" s="446"/>
      <c r="C523" s="31"/>
      <c r="D523" s="331"/>
      <c r="E523" s="331"/>
      <c r="F523" s="331"/>
      <c r="G523" s="595"/>
      <c r="I523" s="89"/>
    </row>
    <row r="524">
      <c r="A524" s="31"/>
      <c r="B524" s="446"/>
      <c r="C524" s="31"/>
      <c r="D524" s="331"/>
      <c r="E524" s="331"/>
      <c r="F524" s="331"/>
      <c r="G524" s="595"/>
      <c r="I524" s="89"/>
    </row>
    <row r="525">
      <c r="A525" s="31"/>
      <c r="B525" s="446"/>
      <c r="C525" s="31"/>
      <c r="D525" s="331"/>
      <c r="E525" s="331"/>
      <c r="F525" s="331"/>
      <c r="G525" s="595"/>
      <c r="I525" s="89"/>
    </row>
    <row r="526">
      <c r="A526" s="31"/>
      <c r="B526" s="446"/>
      <c r="C526" s="31"/>
      <c r="D526" s="331"/>
      <c r="E526" s="331"/>
      <c r="F526" s="331"/>
      <c r="G526" s="595"/>
      <c r="I526" s="89"/>
    </row>
    <row r="527">
      <c r="A527" s="31"/>
      <c r="B527" s="446"/>
      <c r="C527" s="31"/>
      <c r="D527" s="331"/>
      <c r="E527" s="331"/>
      <c r="F527" s="331"/>
      <c r="G527" s="595"/>
      <c r="I527" s="89"/>
    </row>
    <row r="528">
      <c r="A528" s="31"/>
      <c r="B528" s="446"/>
      <c r="C528" s="31"/>
      <c r="D528" s="331"/>
      <c r="E528" s="331"/>
      <c r="F528" s="331"/>
      <c r="G528" s="595"/>
      <c r="I528" s="89"/>
    </row>
    <row r="529">
      <c r="A529" s="31"/>
      <c r="B529" s="446"/>
      <c r="C529" s="31"/>
      <c r="D529" s="331"/>
      <c r="E529" s="331"/>
      <c r="F529" s="331"/>
      <c r="G529" s="595"/>
      <c r="I529" s="89"/>
    </row>
    <row r="530">
      <c r="A530" s="31"/>
      <c r="B530" s="446"/>
      <c r="C530" s="31"/>
      <c r="D530" s="331"/>
      <c r="E530" s="331"/>
      <c r="F530" s="331"/>
      <c r="G530" s="595"/>
      <c r="I530" s="89"/>
    </row>
    <row r="531">
      <c r="A531" s="31"/>
      <c r="B531" s="446"/>
      <c r="C531" s="31"/>
      <c r="D531" s="331"/>
      <c r="E531" s="331"/>
      <c r="F531" s="331"/>
      <c r="G531" s="595"/>
      <c r="I531" s="89"/>
    </row>
    <row r="532">
      <c r="A532" s="31"/>
      <c r="B532" s="446"/>
      <c r="C532" s="31"/>
      <c r="D532" s="331"/>
      <c r="E532" s="331"/>
      <c r="F532" s="331"/>
      <c r="G532" s="595"/>
      <c r="I532" s="89"/>
    </row>
    <row r="533">
      <c r="A533" s="31"/>
      <c r="B533" s="446"/>
      <c r="C533" s="31"/>
      <c r="D533" s="331"/>
      <c r="E533" s="331"/>
      <c r="F533" s="331"/>
      <c r="G533" s="595"/>
      <c r="I533" s="89"/>
    </row>
    <row r="534">
      <c r="A534" s="31"/>
      <c r="B534" s="446"/>
      <c r="C534" s="31"/>
      <c r="D534" s="331"/>
      <c r="E534" s="331"/>
      <c r="F534" s="331"/>
      <c r="G534" s="595"/>
      <c r="I534" s="89"/>
    </row>
    <row r="535">
      <c r="A535" s="31"/>
      <c r="B535" s="446"/>
      <c r="C535" s="31"/>
      <c r="D535" s="331"/>
      <c r="E535" s="331"/>
      <c r="F535" s="331"/>
      <c r="G535" s="595"/>
      <c r="I535" s="89"/>
    </row>
    <row r="536">
      <c r="A536" s="31"/>
      <c r="B536" s="446"/>
      <c r="C536" s="31"/>
      <c r="D536" s="331"/>
      <c r="E536" s="331"/>
      <c r="F536" s="331"/>
      <c r="G536" s="595"/>
      <c r="I536" s="89"/>
    </row>
    <row r="537">
      <c r="A537" s="31"/>
      <c r="B537" s="446"/>
      <c r="C537" s="31"/>
      <c r="D537" s="331"/>
      <c r="E537" s="331"/>
      <c r="F537" s="331"/>
      <c r="G537" s="595"/>
      <c r="I537" s="89"/>
    </row>
    <row r="538">
      <c r="A538" s="31"/>
      <c r="B538" s="446"/>
      <c r="C538" s="31"/>
      <c r="D538" s="331"/>
      <c r="E538" s="331"/>
      <c r="F538" s="331"/>
      <c r="G538" s="595"/>
      <c r="I538" s="89"/>
    </row>
    <row r="539">
      <c r="A539" s="31"/>
      <c r="B539" s="446"/>
      <c r="C539" s="31"/>
      <c r="D539" s="331"/>
      <c r="E539" s="331"/>
      <c r="F539" s="331"/>
      <c r="G539" s="595"/>
      <c r="I539" s="89"/>
    </row>
    <row r="540">
      <c r="A540" s="31"/>
      <c r="B540" s="446"/>
      <c r="C540" s="31"/>
      <c r="D540" s="331"/>
      <c r="E540" s="331"/>
      <c r="F540" s="331"/>
      <c r="G540" s="595"/>
      <c r="I540" s="89"/>
    </row>
    <row r="541">
      <c r="A541" s="31"/>
      <c r="B541" s="446"/>
      <c r="C541" s="31"/>
      <c r="D541" s="331"/>
      <c r="E541" s="331"/>
      <c r="F541" s="331"/>
      <c r="G541" s="595"/>
      <c r="I541" s="89"/>
    </row>
    <row r="542">
      <c r="A542" s="31"/>
      <c r="B542" s="446"/>
      <c r="C542" s="31"/>
      <c r="D542" s="331"/>
      <c r="E542" s="331"/>
      <c r="F542" s="331"/>
      <c r="G542" s="595"/>
      <c r="I542" s="89"/>
    </row>
    <row r="543">
      <c r="A543" s="31"/>
      <c r="B543" s="446"/>
      <c r="C543" s="31"/>
      <c r="D543" s="331"/>
      <c r="E543" s="331"/>
      <c r="F543" s="331"/>
      <c r="G543" s="595"/>
      <c r="I543" s="89"/>
    </row>
    <row r="544">
      <c r="A544" s="31"/>
      <c r="B544" s="446"/>
      <c r="C544" s="31"/>
      <c r="D544" s="331"/>
      <c r="E544" s="331"/>
      <c r="F544" s="331"/>
      <c r="G544" s="595"/>
      <c r="I544" s="89"/>
    </row>
    <row r="545">
      <c r="A545" s="31"/>
      <c r="B545" s="446"/>
      <c r="C545" s="31"/>
      <c r="D545" s="331"/>
      <c r="E545" s="331"/>
      <c r="F545" s="331"/>
      <c r="G545" s="595"/>
      <c r="I545" s="89"/>
    </row>
    <row r="546">
      <c r="A546" s="31"/>
      <c r="B546" s="446"/>
      <c r="C546" s="31"/>
      <c r="D546" s="331"/>
      <c r="E546" s="331"/>
      <c r="F546" s="331"/>
      <c r="G546" s="595"/>
      <c r="I546" s="89"/>
    </row>
    <row r="547">
      <c r="A547" s="31"/>
      <c r="B547" s="446"/>
      <c r="C547" s="31"/>
      <c r="D547" s="331"/>
      <c r="E547" s="331"/>
      <c r="F547" s="331"/>
      <c r="G547" s="595"/>
      <c r="I547" s="89"/>
    </row>
    <row r="548">
      <c r="A548" s="31"/>
      <c r="B548" s="446"/>
      <c r="C548" s="31"/>
      <c r="D548" s="331"/>
      <c r="E548" s="331"/>
      <c r="F548" s="331"/>
      <c r="G548" s="595"/>
      <c r="I548" s="89"/>
    </row>
    <row r="549">
      <c r="A549" s="31"/>
      <c r="B549" s="446"/>
      <c r="C549" s="31"/>
      <c r="D549" s="331"/>
      <c r="E549" s="331"/>
      <c r="F549" s="331"/>
      <c r="G549" s="595"/>
      <c r="I549" s="89"/>
    </row>
    <row r="550">
      <c r="A550" s="31"/>
      <c r="B550" s="446"/>
      <c r="C550" s="31"/>
      <c r="D550" s="331"/>
      <c r="E550" s="331"/>
      <c r="F550" s="331"/>
      <c r="G550" s="595"/>
      <c r="I550" s="89"/>
    </row>
    <row r="551">
      <c r="A551" s="31"/>
      <c r="B551" s="446"/>
      <c r="C551" s="31"/>
      <c r="D551" s="331"/>
      <c r="E551" s="331"/>
      <c r="F551" s="331"/>
      <c r="G551" s="595"/>
      <c r="I551" s="89"/>
    </row>
    <row r="552">
      <c r="A552" s="31"/>
      <c r="B552" s="446"/>
      <c r="C552" s="31"/>
      <c r="D552" s="331"/>
      <c r="E552" s="331"/>
      <c r="F552" s="331"/>
      <c r="G552" s="595"/>
      <c r="I552" s="89"/>
    </row>
    <row r="553">
      <c r="A553" s="31"/>
      <c r="B553" s="446"/>
      <c r="C553" s="31"/>
      <c r="D553" s="331"/>
      <c r="E553" s="331"/>
      <c r="F553" s="331"/>
      <c r="G553" s="595"/>
      <c r="I553" s="89"/>
    </row>
    <row r="554">
      <c r="A554" s="31"/>
      <c r="B554" s="446"/>
      <c r="C554" s="31"/>
      <c r="D554" s="331"/>
      <c r="E554" s="331"/>
      <c r="F554" s="331"/>
      <c r="G554" s="595"/>
      <c r="I554" s="89"/>
    </row>
    <row r="555">
      <c r="A555" s="31"/>
      <c r="B555" s="446"/>
      <c r="C555" s="31"/>
      <c r="D555" s="331"/>
      <c r="E555" s="331"/>
      <c r="F555" s="331"/>
      <c r="G555" s="595"/>
      <c r="I555" s="89"/>
    </row>
    <row r="556">
      <c r="A556" s="31"/>
      <c r="B556" s="446"/>
      <c r="C556" s="31"/>
      <c r="D556" s="331"/>
      <c r="E556" s="331"/>
      <c r="F556" s="331"/>
      <c r="G556" s="595"/>
      <c r="I556" s="89"/>
    </row>
    <row r="557">
      <c r="A557" s="31"/>
      <c r="B557" s="446"/>
      <c r="C557" s="31"/>
      <c r="D557" s="331"/>
      <c r="E557" s="331"/>
      <c r="F557" s="331"/>
      <c r="G557" s="595"/>
      <c r="I557" s="89"/>
    </row>
    <row r="558">
      <c r="A558" s="31"/>
      <c r="B558" s="446"/>
      <c r="C558" s="31"/>
      <c r="D558" s="331"/>
      <c r="E558" s="331"/>
      <c r="F558" s="331"/>
      <c r="G558" s="595"/>
      <c r="I558" s="89"/>
    </row>
    <row r="559">
      <c r="A559" s="31"/>
      <c r="B559" s="446"/>
      <c r="C559" s="31"/>
      <c r="D559" s="331"/>
      <c r="E559" s="331"/>
      <c r="F559" s="331"/>
      <c r="G559" s="595"/>
      <c r="I559" s="89"/>
    </row>
    <row r="560">
      <c r="A560" s="31"/>
      <c r="B560" s="446"/>
      <c r="C560" s="31"/>
      <c r="D560" s="331"/>
      <c r="E560" s="331"/>
      <c r="F560" s="331"/>
      <c r="G560" s="595"/>
      <c r="I560" s="89"/>
    </row>
    <row r="561">
      <c r="A561" s="31"/>
      <c r="B561" s="446"/>
      <c r="C561" s="31"/>
      <c r="D561" s="331"/>
      <c r="E561" s="331"/>
      <c r="F561" s="331"/>
      <c r="G561" s="595"/>
      <c r="I561" s="89"/>
    </row>
    <row r="562">
      <c r="A562" s="31"/>
      <c r="B562" s="446"/>
      <c r="C562" s="31"/>
      <c r="D562" s="331"/>
      <c r="E562" s="331"/>
      <c r="F562" s="331"/>
      <c r="G562" s="595"/>
      <c r="I562" s="89"/>
    </row>
    <row r="563">
      <c r="A563" s="31"/>
      <c r="B563" s="446"/>
      <c r="C563" s="31"/>
      <c r="D563" s="331"/>
      <c r="E563" s="331"/>
      <c r="F563" s="331"/>
      <c r="G563" s="595"/>
      <c r="I563" s="89"/>
    </row>
    <row r="564">
      <c r="A564" s="31"/>
      <c r="B564" s="446"/>
      <c r="C564" s="31"/>
      <c r="D564" s="331"/>
      <c r="E564" s="331"/>
      <c r="F564" s="331"/>
      <c r="G564" s="595"/>
      <c r="I564" s="89"/>
    </row>
    <row r="565">
      <c r="A565" s="31"/>
      <c r="B565" s="446"/>
      <c r="C565" s="31"/>
      <c r="D565" s="331"/>
      <c r="E565" s="331"/>
      <c r="F565" s="331"/>
      <c r="G565" s="595"/>
      <c r="I565" s="89"/>
    </row>
    <row r="566">
      <c r="A566" s="31"/>
      <c r="B566" s="446"/>
      <c r="C566" s="31"/>
      <c r="D566" s="331"/>
      <c r="E566" s="331"/>
      <c r="F566" s="331"/>
      <c r="G566" s="595"/>
      <c r="I566" s="89"/>
    </row>
    <row r="567">
      <c r="A567" s="31"/>
      <c r="B567" s="446"/>
      <c r="C567" s="31"/>
      <c r="D567" s="331"/>
      <c r="E567" s="331"/>
      <c r="F567" s="331"/>
      <c r="G567" s="595"/>
      <c r="I567" s="89"/>
    </row>
    <row r="568">
      <c r="A568" s="31"/>
      <c r="B568" s="446"/>
      <c r="C568" s="31"/>
      <c r="D568" s="331"/>
      <c r="E568" s="331"/>
      <c r="F568" s="331"/>
      <c r="G568" s="595"/>
      <c r="I568" s="89"/>
    </row>
    <row r="569">
      <c r="A569" s="31"/>
      <c r="B569" s="446"/>
      <c r="C569" s="31"/>
      <c r="D569" s="331"/>
      <c r="E569" s="331"/>
      <c r="F569" s="331"/>
      <c r="G569" s="595"/>
      <c r="I569" s="89"/>
    </row>
    <row r="570">
      <c r="A570" s="31"/>
      <c r="B570" s="446"/>
      <c r="C570" s="31"/>
      <c r="D570" s="331"/>
      <c r="E570" s="331"/>
      <c r="F570" s="331"/>
      <c r="G570" s="595"/>
      <c r="I570" s="89"/>
    </row>
    <row r="571">
      <c r="A571" s="31"/>
      <c r="B571" s="446"/>
      <c r="C571" s="31"/>
      <c r="D571" s="331"/>
      <c r="E571" s="331"/>
      <c r="F571" s="331"/>
      <c r="G571" s="595"/>
      <c r="I571" s="89"/>
    </row>
    <row r="572">
      <c r="A572" s="31"/>
      <c r="B572" s="446"/>
      <c r="C572" s="31"/>
      <c r="D572" s="331"/>
      <c r="E572" s="331"/>
      <c r="F572" s="331"/>
      <c r="G572" s="595"/>
      <c r="I572" s="89"/>
    </row>
    <row r="573">
      <c r="A573" s="31"/>
      <c r="B573" s="446"/>
      <c r="C573" s="31"/>
      <c r="D573" s="331"/>
      <c r="E573" s="331"/>
      <c r="F573" s="331"/>
      <c r="G573" s="595"/>
      <c r="I573" s="89"/>
    </row>
    <row r="574">
      <c r="A574" s="31"/>
      <c r="B574" s="446"/>
      <c r="C574" s="31"/>
      <c r="D574" s="331"/>
      <c r="E574" s="331"/>
      <c r="F574" s="331"/>
      <c r="G574" s="595"/>
      <c r="I574" s="89"/>
    </row>
    <row r="575">
      <c r="A575" s="31"/>
      <c r="B575" s="446"/>
      <c r="C575" s="31"/>
      <c r="D575" s="331"/>
      <c r="E575" s="331"/>
      <c r="F575" s="331"/>
      <c r="G575" s="595"/>
      <c r="I575" s="89"/>
    </row>
    <row r="576">
      <c r="A576" s="31"/>
      <c r="B576" s="446"/>
      <c r="C576" s="31"/>
      <c r="D576" s="331"/>
      <c r="E576" s="331"/>
      <c r="F576" s="331"/>
      <c r="G576" s="595"/>
      <c r="I576" s="89"/>
    </row>
    <row r="577">
      <c r="A577" s="31"/>
      <c r="B577" s="446"/>
      <c r="C577" s="31"/>
      <c r="D577" s="331"/>
      <c r="E577" s="331"/>
      <c r="F577" s="331"/>
      <c r="G577" s="595"/>
      <c r="I577" s="89"/>
    </row>
    <row r="578">
      <c r="A578" s="31"/>
      <c r="B578" s="446"/>
      <c r="C578" s="31"/>
      <c r="D578" s="331"/>
      <c r="E578" s="331"/>
      <c r="F578" s="331"/>
      <c r="G578" s="595"/>
      <c r="I578" s="89"/>
    </row>
    <row r="579">
      <c r="A579" s="31"/>
      <c r="B579" s="446"/>
      <c r="C579" s="31"/>
      <c r="D579" s="331"/>
      <c r="E579" s="331"/>
      <c r="F579" s="331"/>
      <c r="G579" s="595"/>
      <c r="I579" s="89"/>
    </row>
    <row r="580">
      <c r="A580" s="31"/>
      <c r="B580" s="446"/>
      <c r="C580" s="31"/>
      <c r="D580" s="331"/>
      <c r="E580" s="331"/>
      <c r="F580" s="331"/>
      <c r="G580" s="595"/>
      <c r="I580" s="89"/>
    </row>
    <row r="581">
      <c r="A581" s="31"/>
      <c r="B581" s="446"/>
      <c r="C581" s="31"/>
      <c r="D581" s="331"/>
      <c r="E581" s="331"/>
      <c r="F581" s="331"/>
      <c r="G581" s="595"/>
      <c r="I581" s="89"/>
    </row>
    <row r="582">
      <c r="A582" s="31"/>
      <c r="B582" s="446"/>
      <c r="C582" s="31"/>
      <c r="D582" s="331"/>
      <c r="E582" s="331"/>
      <c r="F582" s="331"/>
      <c r="G582" s="595"/>
      <c r="I582" s="89"/>
    </row>
    <row r="583">
      <c r="A583" s="31"/>
      <c r="B583" s="446"/>
      <c r="C583" s="31"/>
      <c r="D583" s="331"/>
      <c r="E583" s="331"/>
      <c r="F583" s="331"/>
      <c r="G583" s="595"/>
      <c r="I583" s="89"/>
    </row>
    <row r="584">
      <c r="A584" s="31"/>
      <c r="B584" s="446"/>
      <c r="C584" s="31"/>
      <c r="D584" s="331"/>
      <c r="E584" s="331"/>
      <c r="F584" s="331"/>
      <c r="G584" s="595"/>
      <c r="I584" s="89"/>
    </row>
    <row r="585">
      <c r="A585" s="31"/>
      <c r="B585" s="446"/>
      <c r="C585" s="31"/>
      <c r="D585" s="331"/>
      <c r="E585" s="331"/>
      <c r="F585" s="331"/>
      <c r="G585" s="595"/>
      <c r="I585" s="89"/>
    </row>
    <row r="586">
      <c r="A586" s="31"/>
      <c r="B586" s="446"/>
      <c r="C586" s="31"/>
      <c r="D586" s="331"/>
      <c r="E586" s="331"/>
      <c r="F586" s="331"/>
      <c r="G586" s="595"/>
      <c r="I586" s="89"/>
    </row>
    <row r="587">
      <c r="A587" s="31"/>
      <c r="B587" s="446"/>
      <c r="C587" s="31"/>
      <c r="D587" s="331"/>
      <c r="E587" s="331"/>
      <c r="F587" s="331"/>
      <c r="G587" s="595"/>
      <c r="I587" s="89"/>
    </row>
    <row r="588">
      <c r="A588" s="31"/>
      <c r="B588" s="446"/>
      <c r="C588" s="31"/>
      <c r="D588" s="331"/>
      <c r="E588" s="331"/>
      <c r="F588" s="331"/>
      <c r="G588" s="595"/>
      <c r="I588" s="89"/>
    </row>
    <row r="589">
      <c r="A589" s="31"/>
      <c r="B589" s="446"/>
      <c r="C589" s="31"/>
      <c r="D589" s="331"/>
      <c r="E589" s="331"/>
      <c r="F589" s="331"/>
      <c r="G589" s="595"/>
      <c r="I589" s="89"/>
    </row>
    <row r="590">
      <c r="A590" s="31"/>
      <c r="B590" s="446"/>
      <c r="C590" s="31"/>
      <c r="D590" s="331"/>
      <c r="E590" s="331"/>
      <c r="F590" s="331"/>
      <c r="G590" s="595"/>
      <c r="I590" s="89"/>
    </row>
    <row r="591">
      <c r="A591" s="31"/>
      <c r="B591" s="446"/>
      <c r="C591" s="31"/>
      <c r="D591" s="331"/>
      <c r="E591" s="331"/>
      <c r="F591" s="331"/>
      <c r="G591" s="595"/>
      <c r="I591" s="89"/>
    </row>
    <row r="592">
      <c r="A592" s="31"/>
      <c r="B592" s="446"/>
      <c r="C592" s="31"/>
      <c r="D592" s="331"/>
      <c r="E592" s="331"/>
      <c r="F592" s="331"/>
      <c r="G592" s="595"/>
      <c r="I592" s="89"/>
    </row>
    <row r="593">
      <c r="A593" s="31"/>
      <c r="B593" s="446"/>
      <c r="C593" s="31"/>
      <c r="D593" s="331"/>
      <c r="E593" s="331"/>
      <c r="F593" s="331"/>
      <c r="G593" s="595"/>
      <c r="I593" s="89"/>
    </row>
    <row r="594">
      <c r="A594" s="31"/>
      <c r="B594" s="446"/>
      <c r="C594" s="31"/>
      <c r="D594" s="331"/>
      <c r="E594" s="331"/>
      <c r="F594" s="331"/>
      <c r="G594" s="595"/>
      <c r="I594" s="89"/>
    </row>
    <row r="595">
      <c r="A595" s="31"/>
      <c r="B595" s="446"/>
      <c r="C595" s="31"/>
      <c r="D595" s="331"/>
      <c r="E595" s="331"/>
      <c r="F595" s="331"/>
      <c r="G595" s="595"/>
      <c r="I595" s="89"/>
    </row>
    <row r="596">
      <c r="A596" s="31"/>
      <c r="B596" s="446"/>
      <c r="C596" s="31"/>
      <c r="D596" s="331"/>
      <c r="E596" s="331"/>
      <c r="F596" s="331"/>
      <c r="G596" s="595"/>
      <c r="I596" s="89"/>
    </row>
    <row r="597">
      <c r="A597" s="31"/>
      <c r="B597" s="446"/>
      <c r="C597" s="31"/>
      <c r="D597" s="331"/>
      <c r="E597" s="331"/>
      <c r="F597" s="331"/>
      <c r="G597" s="595"/>
      <c r="I597" s="89"/>
    </row>
    <row r="598">
      <c r="A598" s="31"/>
      <c r="B598" s="446"/>
      <c r="C598" s="31"/>
      <c r="D598" s="331"/>
      <c r="E598" s="331"/>
      <c r="F598" s="331"/>
      <c r="G598" s="595"/>
      <c r="I598" s="89"/>
    </row>
    <row r="599">
      <c r="A599" s="31"/>
      <c r="B599" s="446"/>
      <c r="C599" s="31"/>
      <c r="D599" s="331"/>
      <c r="E599" s="331"/>
      <c r="F599" s="331"/>
      <c r="G599" s="595"/>
      <c r="I599" s="89"/>
    </row>
    <row r="600">
      <c r="A600" s="31"/>
      <c r="B600" s="446"/>
      <c r="C600" s="31"/>
      <c r="D600" s="331"/>
      <c r="E600" s="331"/>
      <c r="F600" s="331"/>
      <c r="G600" s="595"/>
      <c r="I600" s="89"/>
    </row>
    <row r="601">
      <c r="A601" s="31"/>
      <c r="B601" s="446"/>
      <c r="C601" s="31"/>
      <c r="D601" s="331"/>
      <c r="E601" s="331"/>
      <c r="F601" s="331"/>
      <c r="G601" s="595"/>
      <c r="I601" s="89"/>
    </row>
    <row r="602">
      <c r="A602" s="31"/>
      <c r="B602" s="446"/>
      <c r="C602" s="31"/>
      <c r="D602" s="331"/>
      <c r="E602" s="331"/>
      <c r="F602" s="331"/>
      <c r="G602" s="595"/>
      <c r="I602" s="89"/>
    </row>
    <row r="603">
      <c r="A603" s="31"/>
      <c r="B603" s="446"/>
      <c r="C603" s="31"/>
      <c r="D603" s="331"/>
      <c r="E603" s="331"/>
      <c r="F603" s="331"/>
      <c r="G603" s="595"/>
      <c r="I603" s="89"/>
    </row>
    <row r="604">
      <c r="A604" s="31"/>
      <c r="B604" s="446"/>
      <c r="C604" s="31"/>
      <c r="D604" s="331"/>
      <c r="E604" s="331"/>
      <c r="F604" s="331"/>
      <c r="G604" s="595"/>
      <c r="I604" s="89"/>
    </row>
    <row r="605">
      <c r="A605" s="31"/>
      <c r="B605" s="446"/>
      <c r="C605" s="31"/>
      <c r="D605" s="331"/>
      <c r="E605" s="331"/>
      <c r="F605" s="331"/>
      <c r="G605" s="595"/>
      <c r="I605" s="89"/>
    </row>
    <row r="606">
      <c r="A606" s="31"/>
      <c r="B606" s="446"/>
      <c r="C606" s="31"/>
      <c r="D606" s="331"/>
      <c r="E606" s="331"/>
      <c r="F606" s="331"/>
      <c r="G606" s="595"/>
      <c r="I606" s="89"/>
    </row>
    <row r="607">
      <c r="A607" s="31"/>
      <c r="B607" s="446"/>
      <c r="C607" s="31"/>
      <c r="D607" s="331"/>
      <c r="E607" s="331"/>
      <c r="F607" s="331"/>
      <c r="G607" s="595"/>
      <c r="I607" s="89"/>
    </row>
    <row r="608">
      <c r="A608" s="31"/>
      <c r="B608" s="446"/>
      <c r="C608" s="31"/>
      <c r="D608" s="331"/>
      <c r="E608" s="331"/>
      <c r="F608" s="331"/>
      <c r="G608" s="595"/>
      <c r="I608" s="89"/>
    </row>
    <row r="609">
      <c r="A609" s="31"/>
      <c r="B609" s="446"/>
      <c r="C609" s="31"/>
      <c r="D609" s="331"/>
      <c r="E609" s="331"/>
      <c r="F609" s="331"/>
      <c r="G609" s="595"/>
      <c r="I609" s="89"/>
    </row>
    <row r="610">
      <c r="A610" s="31"/>
      <c r="B610" s="446"/>
      <c r="C610" s="31"/>
      <c r="D610" s="331"/>
      <c r="E610" s="331"/>
      <c r="F610" s="331"/>
      <c r="G610" s="595"/>
      <c r="I610" s="89"/>
    </row>
    <row r="611">
      <c r="A611" s="31"/>
      <c r="B611" s="446"/>
      <c r="C611" s="31"/>
      <c r="D611" s="331"/>
      <c r="E611" s="331"/>
      <c r="F611" s="331"/>
      <c r="G611" s="595"/>
      <c r="I611" s="89"/>
    </row>
    <row r="612">
      <c r="A612" s="31"/>
      <c r="B612" s="446"/>
      <c r="C612" s="31"/>
      <c r="D612" s="331"/>
      <c r="E612" s="331"/>
      <c r="F612" s="331"/>
      <c r="G612" s="595"/>
      <c r="I612" s="89"/>
    </row>
    <row r="613">
      <c r="A613" s="31"/>
      <c r="B613" s="446"/>
      <c r="C613" s="31"/>
      <c r="D613" s="331"/>
      <c r="E613" s="331"/>
      <c r="F613" s="331"/>
      <c r="G613" s="595"/>
      <c r="I613" s="89"/>
    </row>
    <row r="614">
      <c r="A614" s="31"/>
      <c r="B614" s="446"/>
      <c r="C614" s="31"/>
      <c r="D614" s="331"/>
      <c r="E614" s="331"/>
      <c r="F614" s="331"/>
      <c r="G614" s="595"/>
      <c r="I614" s="89"/>
    </row>
    <row r="615">
      <c r="A615" s="31"/>
      <c r="B615" s="446"/>
      <c r="C615" s="31"/>
      <c r="D615" s="331"/>
      <c r="E615" s="331"/>
      <c r="F615" s="331"/>
      <c r="G615" s="595"/>
      <c r="I615" s="89"/>
    </row>
    <row r="616">
      <c r="A616" s="31"/>
      <c r="B616" s="446"/>
      <c r="C616" s="31"/>
      <c r="D616" s="331"/>
      <c r="E616" s="331"/>
      <c r="F616" s="331"/>
      <c r="G616" s="595"/>
      <c r="I616" s="89"/>
    </row>
    <row r="617">
      <c r="A617" s="31"/>
      <c r="B617" s="446"/>
      <c r="C617" s="31"/>
      <c r="D617" s="331"/>
      <c r="E617" s="331"/>
      <c r="F617" s="331"/>
      <c r="G617" s="595"/>
      <c r="I617" s="89"/>
    </row>
    <row r="618">
      <c r="A618" s="31"/>
      <c r="B618" s="446"/>
      <c r="C618" s="31"/>
      <c r="D618" s="331"/>
      <c r="E618" s="331"/>
      <c r="F618" s="331"/>
      <c r="G618" s="595"/>
      <c r="I618" s="89"/>
    </row>
    <row r="619">
      <c r="A619" s="31"/>
      <c r="B619" s="446"/>
      <c r="C619" s="31"/>
      <c r="D619" s="331"/>
      <c r="E619" s="331"/>
      <c r="F619" s="331"/>
      <c r="G619" s="595"/>
      <c r="I619" s="89"/>
    </row>
    <row r="620">
      <c r="A620" s="31"/>
      <c r="B620" s="446"/>
      <c r="C620" s="31"/>
      <c r="D620" s="331"/>
      <c r="E620" s="331"/>
      <c r="F620" s="331"/>
      <c r="G620" s="595"/>
      <c r="I620" s="89"/>
    </row>
    <row r="621">
      <c r="A621" s="31"/>
      <c r="B621" s="446"/>
      <c r="C621" s="31"/>
      <c r="D621" s="331"/>
      <c r="E621" s="331"/>
      <c r="F621" s="331"/>
      <c r="G621" s="595"/>
      <c r="I621" s="89"/>
    </row>
    <row r="622">
      <c r="A622" s="31"/>
      <c r="B622" s="446"/>
      <c r="C622" s="31"/>
      <c r="D622" s="331"/>
      <c r="E622" s="331"/>
      <c r="F622" s="331"/>
      <c r="G622" s="595"/>
      <c r="I622" s="89"/>
    </row>
    <row r="623">
      <c r="A623" s="31"/>
      <c r="B623" s="446"/>
      <c r="C623" s="31"/>
      <c r="D623" s="331"/>
      <c r="E623" s="331"/>
      <c r="F623" s="331"/>
      <c r="G623" s="595"/>
      <c r="I623" s="89"/>
    </row>
    <row r="624">
      <c r="A624" s="31"/>
      <c r="B624" s="446"/>
      <c r="C624" s="31"/>
      <c r="D624" s="331"/>
      <c r="E624" s="331"/>
      <c r="F624" s="331"/>
      <c r="G624" s="595"/>
      <c r="I624" s="89"/>
    </row>
    <row r="625">
      <c r="A625" s="31"/>
      <c r="B625" s="446"/>
      <c r="C625" s="31"/>
      <c r="D625" s="331"/>
      <c r="E625" s="331"/>
      <c r="F625" s="331"/>
      <c r="G625" s="595"/>
      <c r="I625" s="89"/>
    </row>
    <row r="626">
      <c r="A626" s="31"/>
      <c r="B626" s="446"/>
      <c r="C626" s="31"/>
      <c r="D626" s="331"/>
      <c r="E626" s="331"/>
      <c r="F626" s="331"/>
      <c r="G626" s="595"/>
      <c r="I626" s="89"/>
    </row>
    <row r="627">
      <c r="A627" s="31"/>
      <c r="B627" s="446"/>
      <c r="C627" s="31"/>
      <c r="D627" s="331"/>
      <c r="E627" s="331"/>
      <c r="F627" s="331"/>
      <c r="G627" s="595"/>
      <c r="I627" s="89"/>
    </row>
    <row r="628">
      <c r="A628" s="31"/>
      <c r="B628" s="446"/>
      <c r="C628" s="31"/>
      <c r="D628" s="331"/>
      <c r="E628" s="331"/>
      <c r="F628" s="331"/>
      <c r="G628" s="595"/>
      <c r="I628" s="89"/>
    </row>
    <row r="629">
      <c r="A629" s="31"/>
      <c r="B629" s="446"/>
      <c r="C629" s="31"/>
      <c r="D629" s="331"/>
      <c r="E629" s="331"/>
      <c r="F629" s="331"/>
      <c r="G629" s="595"/>
      <c r="I629" s="89"/>
    </row>
    <row r="630">
      <c r="A630" s="31"/>
      <c r="B630" s="446"/>
      <c r="C630" s="31"/>
      <c r="D630" s="331"/>
      <c r="E630" s="331"/>
      <c r="F630" s="331"/>
      <c r="G630" s="595"/>
      <c r="I630" s="89"/>
    </row>
    <row r="631">
      <c r="A631" s="31"/>
      <c r="B631" s="446"/>
      <c r="C631" s="31"/>
      <c r="D631" s="331"/>
      <c r="E631" s="331"/>
      <c r="F631" s="331"/>
      <c r="G631" s="595"/>
      <c r="I631" s="89"/>
    </row>
    <row r="632">
      <c r="A632" s="31"/>
      <c r="B632" s="446"/>
      <c r="C632" s="31"/>
      <c r="D632" s="331"/>
      <c r="E632" s="331"/>
      <c r="F632" s="331"/>
      <c r="G632" s="595"/>
      <c r="I632" s="89"/>
    </row>
    <row r="633">
      <c r="A633" s="31"/>
      <c r="B633" s="446"/>
      <c r="C633" s="31"/>
      <c r="D633" s="331"/>
      <c r="E633" s="331"/>
      <c r="F633" s="331"/>
      <c r="G633" s="595"/>
      <c r="I633" s="89"/>
    </row>
    <row r="634">
      <c r="A634" s="31"/>
      <c r="B634" s="446"/>
      <c r="C634" s="31"/>
      <c r="D634" s="331"/>
      <c r="E634" s="331"/>
      <c r="F634" s="331"/>
      <c r="G634" s="595"/>
      <c r="I634" s="89"/>
    </row>
    <row r="635">
      <c r="A635" s="31"/>
      <c r="B635" s="446"/>
      <c r="C635" s="31"/>
      <c r="D635" s="331"/>
      <c r="E635" s="331"/>
      <c r="F635" s="331"/>
      <c r="G635" s="595"/>
      <c r="I635" s="89"/>
    </row>
    <row r="636">
      <c r="A636" s="31"/>
      <c r="B636" s="446"/>
      <c r="C636" s="31"/>
      <c r="D636" s="331"/>
      <c r="E636" s="331"/>
      <c r="F636" s="331"/>
      <c r="G636" s="595"/>
      <c r="I636" s="89"/>
    </row>
    <row r="637">
      <c r="A637" s="31"/>
      <c r="B637" s="446"/>
      <c r="C637" s="31"/>
      <c r="D637" s="331"/>
      <c r="E637" s="331"/>
      <c r="F637" s="331"/>
      <c r="G637" s="595"/>
      <c r="I637" s="89"/>
    </row>
    <row r="638">
      <c r="A638" s="31"/>
      <c r="B638" s="446"/>
      <c r="C638" s="31"/>
      <c r="D638" s="331"/>
      <c r="E638" s="331"/>
      <c r="F638" s="331"/>
      <c r="G638" s="595"/>
      <c r="I638" s="89"/>
    </row>
    <row r="639">
      <c r="A639" s="31"/>
      <c r="B639" s="446"/>
      <c r="C639" s="31"/>
      <c r="D639" s="331"/>
      <c r="E639" s="331"/>
      <c r="F639" s="331"/>
      <c r="G639" s="595"/>
      <c r="I639" s="89"/>
    </row>
    <row r="640">
      <c r="A640" s="31"/>
      <c r="B640" s="446"/>
      <c r="C640" s="31"/>
      <c r="D640" s="331"/>
      <c r="E640" s="331"/>
      <c r="F640" s="331"/>
      <c r="G640" s="595"/>
      <c r="I640" s="89"/>
    </row>
    <row r="641">
      <c r="A641" s="31"/>
      <c r="B641" s="446"/>
      <c r="C641" s="31"/>
      <c r="D641" s="331"/>
      <c r="E641" s="331"/>
      <c r="F641" s="331"/>
      <c r="G641" s="595"/>
      <c r="I641" s="89"/>
    </row>
    <row r="642">
      <c r="A642" s="31"/>
      <c r="B642" s="446"/>
      <c r="C642" s="31"/>
      <c r="D642" s="331"/>
      <c r="E642" s="331"/>
      <c r="F642" s="331"/>
      <c r="G642" s="595"/>
      <c r="I642" s="89"/>
    </row>
    <row r="643">
      <c r="A643" s="31"/>
      <c r="B643" s="446"/>
      <c r="C643" s="31"/>
      <c r="D643" s="331"/>
      <c r="E643" s="331"/>
      <c r="F643" s="331"/>
      <c r="G643" s="595"/>
      <c r="I643" s="89"/>
    </row>
    <row r="644">
      <c r="A644" s="31"/>
      <c r="B644" s="446"/>
      <c r="C644" s="31"/>
      <c r="D644" s="331"/>
      <c r="E644" s="331"/>
      <c r="F644" s="331"/>
      <c r="G644" s="595"/>
      <c r="I644" s="89"/>
    </row>
    <row r="645">
      <c r="A645" s="31"/>
      <c r="B645" s="446"/>
      <c r="C645" s="31"/>
      <c r="D645" s="331"/>
      <c r="E645" s="331"/>
      <c r="F645" s="331"/>
      <c r="G645" s="595"/>
      <c r="I645" s="89"/>
    </row>
    <row r="646">
      <c r="A646" s="31"/>
      <c r="B646" s="446"/>
      <c r="C646" s="31"/>
      <c r="D646" s="331"/>
      <c r="E646" s="331"/>
      <c r="F646" s="331"/>
      <c r="G646" s="595"/>
      <c r="I646" s="89"/>
    </row>
    <row r="647">
      <c r="A647" s="31"/>
      <c r="B647" s="446"/>
      <c r="C647" s="31"/>
      <c r="D647" s="331"/>
      <c r="E647" s="331"/>
      <c r="F647" s="331"/>
      <c r="G647" s="595"/>
      <c r="I647" s="89"/>
    </row>
    <row r="648">
      <c r="A648" s="31"/>
      <c r="B648" s="446"/>
      <c r="C648" s="31"/>
      <c r="D648" s="331"/>
      <c r="E648" s="331"/>
      <c r="F648" s="331"/>
      <c r="G648" s="595"/>
      <c r="I648" s="89"/>
    </row>
    <row r="649">
      <c r="A649" s="31"/>
      <c r="B649" s="446"/>
      <c r="C649" s="31"/>
      <c r="D649" s="331"/>
      <c r="E649" s="331"/>
      <c r="F649" s="331"/>
      <c r="G649" s="595"/>
      <c r="I649" s="89"/>
    </row>
    <row r="650">
      <c r="A650" s="31"/>
      <c r="B650" s="446"/>
      <c r="C650" s="31"/>
      <c r="D650" s="331"/>
      <c r="E650" s="331"/>
      <c r="F650" s="331"/>
      <c r="G650" s="595"/>
      <c r="I650" s="89"/>
    </row>
    <row r="651">
      <c r="A651" s="31"/>
      <c r="B651" s="446"/>
      <c r="C651" s="31"/>
      <c r="D651" s="331"/>
      <c r="E651" s="331"/>
      <c r="F651" s="331"/>
      <c r="G651" s="595"/>
      <c r="I651" s="89"/>
    </row>
    <row r="652">
      <c r="A652" s="31"/>
      <c r="B652" s="446"/>
      <c r="C652" s="31"/>
      <c r="D652" s="331"/>
      <c r="E652" s="331"/>
      <c r="F652" s="331"/>
      <c r="G652" s="595"/>
      <c r="I652" s="89"/>
    </row>
    <row r="653">
      <c r="A653" s="31"/>
      <c r="B653" s="446"/>
      <c r="C653" s="31"/>
      <c r="D653" s="331"/>
      <c r="E653" s="331"/>
      <c r="F653" s="331"/>
      <c r="G653" s="595"/>
      <c r="I653" s="89"/>
    </row>
    <row r="654">
      <c r="A654" s="31"/>
      <c r="B654" s="446"/>
      <c r="C654" s="31"/>
      <c r="D654" s="331"/>
      <c r="E654" s="331"/>
      <c r="F654" s="331"/>
      <c r="G654" s="595"/>
      <c r="I654" s="89"/>
    </row>
    <row r="655">
      <c r="A655" s="31"/>
      <c r="B655" s="446"/>
      <c r="C655" s="31"/>
      <c r="D655" s="331"/>
      <c r="E655" s="331"/>
      <c r="F655" s="331"/>
      <c r="G655" s="595"/>
      <c r="I655" s="89"/>
    </row>
    <row r="656">
      <c r="A656" s="31"/>
      <c r="B656" s="446"/>
      <c r="C656" s="31"/>
      <c r="D656" s="331"/>
      <c r="E656" s="331"/>
      <c r="F656" s="331"/>
      <c r="G656" s="595"/>
      <c r="I656" s="89"/>
    </row>
    <row r="657">
      <c r="A657" s="31"/>
      <c r="B657" s="446"/>
      <c r="C657" s="31"/>
      <c r="D657" s="331"/>
      <c r="E657" s="331"/>
      <c r="F657" s="331"/>
      <c r="G657" s="595"/>
      <c r="I657" s="89"/>
    </row>
    <row r="658">
      <c r="A658" s="31"/>
      <c r="B658" s="446"/>
      <c r="C658" s="31"/>
      <c r="D658" s="331"/>
      <c r="E658" s="331"/>
      <c r="F658" s="331"/>
      <c r="G658" s="595"/>
      <c r="I658" s="89"/>
    </row>
    <row r="659">
      <c r="A659" s="31"/>
      <c r="B659" s="446"/>
      <c r="C659" s="31"/>
      <c r="D659" s="331"/>
      <c r="E659" s="331"/>
      <c r="F659" s="331"/>
      <c r="G659" s="595"/>
      <c r="I659" s="89"/>
    </row>
    <row r="660">
      <c r="A660" s="31"/>
      <c r="B660" s="446"/>
      <c r="C660" s="31"/>
      <c r="D660" s="331"/>
      <c r="E660" s="331"/>
      <c r="F660" s="331"/>
      <c r="G660" s="595"/>
      <c r="I660" s="89"/>
    </row>
    <row r="661">
      <c r="A661" s="31"/>
      <c r="B661" s="446"/>
      <c r="C661" s="31"/>
      <c r="D661" s="331"/>
      <c r="E661" s="331"/>
      <c r="F661" s="331"/>
      <c r="G661" s="595"/>
      <c r="I661" s="89"/>
    </row>
    <row r="662">
      <c r="A662" s="31"/>
      <c r="B662" s="446"/>
      <c r="C662" s="31"/>
      <c r="D662" s="331"/>
      <c r="E662" s="331"/>
      <c r="F662" s="331"/>
      <c r="G662" s="595"/>
      <c r="I662" s="89"/>
    </row>
    <row r="663">
      <c r="A663" s="31"/>
      <c r="B663" s="446"/>
      <c r="C663" s="31"/>
      <c r="D663" s="331"/>
      <c r="E663" s="331"/>
      <c r="F663" s="331"/>
      <c r="G663" s="595"/>
      <c r="I663" s="89"/>
    </row>
    <row r="664">
      <c r="A664" s="31"/>
      <c r="B664" s="446"/>
      <c r="C664" s="31"/>
      <c r="D664" s="331"/>
      <c r="E664" s="331"/>
      <c r="F664" s="331"/>
      <c r="G664" s="595"/>
      <c r="I664" s="89"/>
    </row>
    <row r="665">
      <c r="A665" s="31"/>
      <c r="B665" s="446"/>
      <c r="C665" s="31"/>
      <c r="D665" s="331"/>
      <c r="E665" s="331"/>
      <c r="F665" s="331"/>
      <c r="G665" s="595"/>
      <c r="I665" s="89"/>
    </row>
    <row r="666">
      <c r="A666" s="31"/>
      <c r="B666" s="446"/>
      <c r="C666" s="31"/>
      <c r="D666" s="331"/>
      <c r="E666" s="331"/>
      <c r="F666" s="331"/>
      <c r="G666" s="595"/>
      <c r="I666" s="89"/>
    </row>
    <row r="667">
      <c r="A667" s="31"/>
      <c r="B667" s="446"/>
      <c r="C667" s="31"/>
      <c r="D667" s="331"/>
      <c r="E667" s="331"/>
      <c r="F667" s="331"/>
      <c r="G667" s="595"/>
      <c r="I667" s="89"/>
    </row>
    <row r="668">
      <c r="A668" s="31"/>
      <c r="B668" s="446"/>
      <c r="C668" s="31"/>
      <c r="D668" s="331"/>
      <c r="E668" s="331"/>
      <c r="F668" s="331"/>
      <c r="G668" s="595"/>
      <c r="I668" s="89"/>
    </row>
    <row r="669">
      <c r="A669" s="31"/>
      <c r="B669" s="446"/>
      <c r="C669" s="31"/>
      <c r="D669" s="331"/>
      <c r="E669" s="331"/>
      <c r="F669" s="331"/>
      <c r="G669" s="595"/>
      <c r="I669" s="89"/>
    </row>
    <row r="670">
      <c r="A670" s="31"/>
      <c r="B670" s="446"/>
      <c r="C670" s="31"/>
      <c r="D670" s="331"/>
      <c r="E670" s="331"/>
      <c r="F670" s="331"/>
      <c r="G670" s="595"/>
      <c r="I670" s="89"/>
    </row>
    <row r="671">
      <c r="A671" s="31"/>
      <c r="B671" s="446"/>
      <c r="C671" s="31"/>
      <c r="D671" s="331"/>
      <c r="E671" s="331"/>
      <c r="F671" s="331"/>
      <c r="G671" s="595"/>
      <c r="I671" s="89"/>
    </row>
    <row r="672">
      <c r="A672" s="31"/>
      <c r="B672" s="446"/>
      <c r="C672" s="31"/>
      <c r="D672" s="331"/>
      <c r="E672" s="331"/>
      <c r="F672" s="331"/>
      <c r="G672" s="595"/>
      <c r="I672" s="89"/>
    </row>
    <row r="673">
      <c r="A673" s="31"/>
      <c r="B673" s="446"/>
      <c r="C673" s="31"/>
      <c r="D673" s="331"/>
      <c r="E673" s="331"/>
      <c r="F673" s="331"/>
      <c r="G673" s="595"/>
      <c r="I673" s="89"/>
    </row>
    <row r="674">
      <c r="A674" s="31"/>
      <c r="B674" s="446"/>
      <c r="C674" s="31"/>
      <c r="D674" s="331"/>
      <c r="E674" s="331"/>
      <c r="F674" s="331"/>
      <c r="G674" s="595"/>
      <c r="I674" s="89"/>
    </row>
    <row r="675">
      <c r="A675" s="31"/>
      <c r="B675" s="446"/>
      <c r="C675" s="31"/>
      <c r="D675" s="331"/>
      <c r="E675" s="331"/>
      <c r="F675" s="331"/>
      <c r="G675" s="595"/>
      <c r="I675" s="89"/>
    </row>
    <row r="676">
      <c r="A676" s="31"/>
      <c r="B676" s="446"/>
      <c r="C676" s="31"/>
      <c r="D676" s="331"/>
      <c r="E676" s="331"/>
      <c r="F676" s="331"/>
      <c r="G676" s="595"/>
      <c r="I676" s="89"/>
    </row>
    <row r="677">
      <c r="A677" s="31"/>
      <c r="B677" s="446"/>
      <c r="C677" s="31"/>
      <c r="D677" s="331"/>
      <c r="E677" s="331"/>
      <c r="F677" s="331"/>
      <c r="G677" s="595"/>
      <c r="I677" s="89"/>
    </row>
    <row r="678">
      <c r="A678" s="31"/>
      <c r="B678" s="446"/>
      <c r="C678" s="31"/>
      <c r="D678" s="331"/>
      <c r="E678" s="331"/>
      <c r="F678" s="331"/>
      <c r="G678" s="595"/>
      <c r="I678" s="89"/>
    </row>
    <row r="679">
      <c r="A679" s="31"/>
      <c r="B679" s="446"/>
      <c r="C679" s="31"/>
      <c r="D679" s="331"/>
      <c r="E679" s="331"/>
      <c r="F679" s="331"/>
      <c r="G679" s="595"/>
      <c r="I679" s="89"/>
    </row>
    <row r="680">
      <c r="A680" s="31"/>
      <c r="B680" s="446"/>
      <c r="C680" s="31"/>
      <c r="D680" s="331"/>
      <c r="E680" s="331"/>
      <c r="F680" s="331"/>
      <c r="G680" s="595"/>
      <c r="I680" s="89"/>
    </row>
    <row r="681">
      <c r="A681" s="31"/>
      <c r="B681" s="446"/>
      <c r="C681" s="31"/>
      <c r="D681" s="331"/>
      <c r="E681" s="331"/>
      <c r="F681" s="331"/>
      <c r="G681" s="595"/>
      <c r="I681" s="89"/>
    </row>
    <row r="682">
      <c r="A682" s="31"/>
      <c r="B682" s="446"/>
      <c r="C682" s="31"/>
      <c r="D682" s="331"/>
      <c r="E682" s="331"/>
      <c r="F682" s="331"/>
      <c r="G682" s="595"/>
      <c r="I682" s="89"/>
    </row>
    <row r="683">
      <c r="A683" s="31"/>
      <c r="B683" s="446"/>
      <c r="C683" s="31"/>
      <c r="D683" s="331"/>
      <c r="E683" s="331"/>
      <c r="F683" s="331"/>
      <c r="G683" s="595"/>
      <c r="I683" s="89"/>
    </row>
    <row r="684">
      <c r="A684" s="31"/>
      <c r="B684" s="446"/>
      <c r="C684" s="31"/>
      <c r="D684" s="331"/>
      <c r="E684" s="331"/>
      <c r="F684" s="331"/>
      <c r="G684" s="595"/>
      <c r="I684" s="89"/>
    </row>
    <row r="685">
      <c r="A685" s="31"/>
      <c r="B685" s="446"/>
      <c r="C685" s="31"/>
      <c r="D685" s="331"/>
      <c r="E685" s="331"/>
      <c r="F685" s="331"/>
      <c r="G685" s="595"/>
      <c r="I685" s="89"/>
    </row>
    <row r="686">
      <c r="A686" s="31"/>
      <c r="B686" s="446"/>
      <c r="C686" s="31"/>
      <c r="D686" s="331"/>
      <c r="E686" s="331"/>
      <c r="F686" s="331"/>
      <c r="G686" s="595"/>
      <c r="I686" s="89"/>
    </row>
    <row r="687">
      <c r="A687" s="31"/>
      <c r="B687" s="446"/>
      <c r="C687" s="31"/>
      <c r="D687" s="331"/>
      <c r="E687" s="331"/>
      <c r="F687" s="331"/>
      <c r="G687" s="595"/>
      <c r="I687" s="89"/>
    </row>
    <row r="688">
      <c r="A688" s="31"/>
      <c r="B688" s="446"/>
      <c r="C688" s="31"/>
      <c r="D688" s="331"/>
      <c r="E688" s="331"/>
      <c r="F688" s="331"/>
      <c r="G688" s="595"/>
      <c r="I688" s="89"/>
    </row>
    <row r="689">
      <c r="A689" s="31"/>
      <c r="B689" s="446"/>
      <c r="C689" s="31"/>
      <c r="D689" s="331"/>
      <c r="E689" s="331"/>
      <c r="F689" s="331"/>
      <c r="G689" s="595"/>
      <c r="I689" s="89"/>
    </row>
    <row r="690">
      <c r="A690" s="31"/>
      <c r="B690" s="446"/>
      <c r="C690" s="31"/>
      <c r="D690" s="331"/>
      <c r="E690" s="331"/>
      <c r="F690" s="331"/>
      <c r="G690" s="595"/>
      <c r="I690" s="89"/>
    </row>
    <row r="691">
      <c r="A691" s="31"/>
      <c r="B691" s="446"/>
      <c r="C691" s="31"/>
      <c r="D691" s="331"/>
      <c r="E691" s="331"/>
      <c r="F691" s="331"/>
      <c r="G691" s="595"/>
      <c r="I691" s="89"/>
    </row>
    <row r="692">
      <c r="A692" s="31"/>
      <c r="B692" s="446"/>
      <c r="C692" s="31"/>
      <c r="D692" s="331"/>
      <c r="E692" s="331"/>
      <c r="F692" s="331"/>
      <c r="G692" s="595"/>
      <c r="I692" s="89"/>
    </row>
    <row r="693">
      <c r="A693" s="31"/>
      <c r="B693" s="446"/>
      <c r="C693" s="31"/>
      <c r="D693" s="331"/>
      <c r="E693" s="331"/>
      <c r="F693" s="331"/>
      <c r="G693" s="595"/>
      <c r="I693" s="89"/>
    </row>
    <row r="694">
      <c r="A694" s="31"/>
      <c r="B694" s="446"/>
      <c r="C694" s="31"/>
      <c r="D694" s="331"/>
      <c r="E694" s="331"/>
      <c r="F694" s="331"/>
      <c r="G694" s="595"/>
      <c r="I694" s="89"/>
    </row>
    <row r="695">
      <c r="A695" s="31"/>
      <c r="B695" s="446"/>
      <c r="C695" s="31"/>
      <c r="D695" s="331"/>
      <c r="E695" s="331"/>
      <c r="F695" s="331"/>
      <c r="G695" s="595"/>
      <c r="I695" s="89"/>
    </row>
    <row r="696">
      <c r="A696" s="31"/>
      <c r="B696" s="446"/>
      <c r="C696" s="31"/>
      <c r="D696" s="331"/>
      <c r="E696" s="331"/>
      <c r="F696" s="331"/>
      <c r="G696" s="595"/>
      <c r="I696" s="89"/>
    </row>
    <row r="697">
      <c r="A697" s="31"/>
      <c r="B697" s="446"/>
      <c r="C697" s="31"/>
      <c r="D697" s="331"/>
      <c r="E697" s="331"/>
      <c r="F697" s="331"/>
      <c r="G697" s="595"/>
      <c r="I697" s="89"/>
    </row>
    <row r="698">
      <c r="A698" s="31"/>
      <c r="B698" s="446"/>
      <c r="C698" s="31"/>
      <c r="D698" s="331"/>
      <c r="E698" s="331"/>
      <c r="F698" s="331"/>
      <c r="G698" s="595"/>
      <c r="I698" s="89"/>
    </row>
    <row r="699">
      <c r="A699" s="31"/>
      <c r="B699" s="446"/>
      <c r="C699" s="31"/>
      <c r="D699" s="331"/>
      <c r="E699" s="331"/>
      <c r="F699" s="331"/>
      <c r="G699" s="595"/>
      <c r="I699" s="89"/>
    </row>
    <row r="700">
      <c r="A700" s="31"/>
      <c r="B700" s="446"/>
      <c r="C700" s="31"/>
      <c r="D700" s="331"/>
      <c r="E700" s="331"/>
      <c r="F700" s="331"/>
      <c r="G700" s="595"/>
      <c r="I700" s="89"/>
    </row>
    <row r="701">
      <c r="A701" s="31"/>
      <c r="B701" s="446"/>
      <c r="C701" s="31"/>
      <c r="D701" s="331"/>
      <c r="E701" s="331"/>
      <c r="F701" s="331"/>
      <c r="G701" s="595"/>
      <c r="I701" s="89"/>
    </row>
    <row r="702">
      <c r="A702" s="31"/>
      <c r="B702" s="446"/>
      <c r="C702" s="31"/>
      <c r="D702" s="331"/>
      <c r="E702" s="331"/>
      <c r="F702" s="331"/>
      <c r="G702" s="595"/>
      <c r="I702" s="89"/>
    </row>
    <row r="703">
      <c r="A703" s="31"/>
      <c r="B703" s="446"/>
      <c r="C703" s="31"/>
      <c r="D703" s="331"/>
      <c r="E703" s="331"/>
      <c r="F703" s="331"/>
      <c r="G703" s="595"/>
      <c r="I703" s="89"/>
    </row>
    <row r="704">
      <c r="A704" s="31"/>
      <c r="B704" s="446"/>
      <c r="C704" s="31"/>
      <c r="D704" s="331"/>
      <c r="E704" s="331"/>
      <c r="F704" s="331"/>
      <c r="G704" s="595"/>
      <c r="I704" s="89"/>
    </row>
    <row r="705">
      <c r="A705" s="31"/>
      <c r="B705" s="446"/>
      <c r="C705" s="31"/>
      <c r="D705" s="331"/>
      <c r="E705" s="331"/>
      <c r="F705" s="331"/>
      <c r="G705" s="595"/>
      <c r="I705" s="89"/>
    </row>
    <row r="706">
      <c r="A706" s="31"/>
      <c r="B706" s="446"/>
      <c r="C706" s="31"/>
      <c r="D706" s="331"/>
      <c r="E706" s="331"/>
      <c r="F706" s="331"/>
      <c r="G706" s="595"/>
      <c r="I706" s="89"/>
    </row>
    <row r="707">
      <c r="A707" s="31"/>
      <c r="B707" s="446"/>
      <c r="C707" s="31"/>
      <c r="D707" s="331"/>
      <c r="E707" s="331"/>
      <c r="F707" s="331"/>
      <c r="G707" s="595"/>
      <c r="I707" s="89"/>
    </row>
    <row r="708">
      <c r="A708" s="31"/>
      <c r="B708" s="446"/>
      <c r="C708" s="31"/>
      <c r="D708" s="331"/>
      <c r="E708" s="331"/>
      <c r="F708" s="331"/>
      <c r="G708" s="595"/>
      <c r="I708" s="89"/>
    </row>
    <row r="709">
      <c r="A709" s="31"/>
      <c r="B709" s="446"/>
      <c r="C709" s="31"/>
      <c r="D709" s="331"/>
      <c r="E709" s="331"/>
      <c r="F709" s="331"/>
      <c r="G709" s="595"/>
      <c r="I709" s="89"/>
    </row>
    <row r="710">
      <c r="A710" s="31"/>
      <c r="B710" s="446"/>
      <c r="C710" s="31"/>
      <c r="D710" s="331"/>
      <c r="E710" s="331"/>
      <c r="F710" s="331"/>
      <c r="G710" s="595"/>
      <c r="I710" s="89"/>
    </row>
    <row r="711">
      <c r="A711" s="31"/>
      <c r="B711" s="446"/>
      <c r="C711" s="31"/>
      <c r="D711" s="331"/>
      <c r="E711" s="331"/>
      <c r="F711" s="331"/>
      <c r="G711" s="595"/>
      <c r="I711" s="89"/>
    </row>
    <row r="712">
      <c r="A712" s="31"/>
      <c r="B712" s="446"/>
      <c r="C712" s="31"/>
      <c r="D712" s="331"/>
      <c r="E712" s="331"/>
      <c r="F712" s="331"/>
      <c r="G712" s="595"/>
      <c r="I712" s="89"/>
    </row>
    <row r="713">
      <c r="A713" s="31"/>
      <c r="B713" s="446"/>
      <c r="C713" s="31"/>
      <c r="D713" s="331"/>
      <c r="E713" s="331"/>
      <c r="F713" s="331"/>
      <c r="G713" s="595"/>
      <c r="I713" s="89"/>
    </row>
    <row r="714">
      <c r="A714" s="31"/>
      <c r="B714" s="446"/>
      <c r="C714" s="31"/>
      <c r="D714" s="331"/>
      <c r="E714" s="331"/>
      <c r="F714" s="331"/>
      <c r="G714" s="595"/>
      <c r="I714" s="89"/>
    </row>
    <row r="715">
      <c r="A715" s="31"/>
      <c r="B715" s="446"/>
      <c r="C715" s="31"/>
      <c r="D715" s="331"/>
      <c r="E715" s="331"/>
      <c r="F715" s="331"/>
      <c r="G715" s="595"/>
      <c r="I715" s="89"/>
    </row>
    <row r="716">
      <c r="A716" s="31"/>
      <c r="B716" s="446"/>
      <c r="C716" s="31"/>
      <c r="D716" s="331"/>
      <c r="E716" s="331"/>
      <c r="F716" s="331"/>
      <c r="G716" s="595"/>
      <c r="I716" s="89"/>
    </row>
    <row r="717">
      <c r="A717" s="31"/>
      <c r="B717" s="446"/>
      <c r="C717" s="31"/>
      <c r="D717" s="331"/>
      <c r="E717" s="331"/>
      <c r="F717" s="331"/>
      <c r="G717" s="595"/>
      <c r="I717" s="89"/>
    </row>
    <row r="718">
      <c r="A718" s="31"/>
      <c r="B718" s="446"/>
      <c r="C718" s="31"/>
      <c r="D718" s="331"/>
      <c r="E718" s="331"/>
      <c r="F718" s="331"/>
      <c r="G718" s="595"/>
      <c r="I718" s="89"/>
    </row>
    <row r="719">
      <c r="A719" s="31"/>
      <c r="B719" s="446"/>
      <c r="C719" s="31"/>
      <c r="D719" s="331"/>
      <c r="E719" s="331"/>
      <c r="F719" s="331"/>
      <c r="G719" s="595"/>
      <c r="I719" s="89"/>
    </row>
    <row r="720">
      <c r="A720" s="31"/>
      <c r="B720" s="446"/>
      <c r="C720" s="31"/>
      <c r="D720" s="331"/>
      <c r="E720" s="331"/>
      <c r="F720" s="331"/>
      <c r="G720" s="595"/>
      <c r="I720" s="89"/>
    </row>
    <row r="721">
      <c r="A721" s="31"/>
      <c r="B721" s="446"/>
      <c r="C721" s="31"/>
      <c r="D721" s="331"/>
      <c r="E721" s="331"/>
      <c r="F721" s="331"/>
      <c r="G721" s="595"/>
      <c r="I721" s="89"/>
    </row>
    <row r="722">
      <c r="A722" s="31"/>
      <c r="B722" s="446"/>
      <c r="C722" s="31"/>
      <c r="D722" s="331"/>
      <c r="E722" s="331"/>
      <c r="F722" s="331"/>
      <c r="G722" s="595"/>
      <c r="I722" s="89"/>
    </row>
    <row r="723">
      <c r="A723" s="31"/>
      <c r="B723" s="446"/>
      <c r="C723" s="31"/>
      <c r="D723" s="331"/>
      <c r="E723" s="331"/>
      <c r="F723" s="331"/>
      <c r="G723" s="595"/>
      <c r="I723" s="89"/>
    </row>
    <row r="724">
      <c r="A724" s="31"/>
      <c r="B724" s="446"/>
      <c r="C724" s="31"/>
      <c r="D724" s="331"/>
      <c r="E724" s="331"/>
      <c r="F724" s="331"/>
      <c r="G724" s="595"/>
      <c r="I724" s="89"/>
    </row>
    <row r="725">
      <c r="A725" s="31"/>
      <c r="B725" s="446"/>
      <c r="C725" s="31"/>
      <c r="D725" s="331"/>
      <c r="E725" s="331"/>
      <c r="F725" s="331"/>
      <c r="G725" s="595"/>
      <c r="I725" s="89"/>
    </row>
    <row r="726">
      <c r="A726" s="31"/>
      <c r="B726" s="446"/>
      <c r="C726" s="31"/>
      <c r="D726" s="331"/>
      <c r="E726" s="331"/>
      <c r="F726" s="331"/>
      <c r="G726" s="595"/>
      <c r="I726" s="89"/>
    </row>
    <row r="727">
      <c r="A727" s="31"/>
      <c r="B727" s="446"/>
      <c r="C727" s="31"/>
      <c r="D727" s="331"/>
      <c r="E727" s="331"/>
      <c r="F727" s="331"/>
      <c r="G727" s="595"/>
      <c r="I727" s="89"/>
    </row>
    <row r="728">
      <c r="A728" s="31"/>
      <c r="B728" s="446"/>
      <c r="C728" s="31"/>
      <c r="D728" s="331"/>
      <c r="E728" s="331"/>
      <c r="F728" s="331"/>
      <c r="G728" s="595"/>
      <c r="I728" s="89"/>
    </row>
    <row r="729">
      <c r="A729" s="31"/>
      <c r="B729" s="446"/>
      <c r="C729" s="31"/>
      <c r="D729" s="331"/>
      <c r="E729" s="331"/>
      <c r="F729" s="331"/>
      <c r="G729" s="595"/>
      <c r="I729" s="89"/>
    </row>
    <row r="730">
      <c r="A730" s="31"/>
      <c r="B730" s="446"/>
      <c r="C730" s="31"/>
      <c r="D730" s="331"/>
      <c r="E730" s="331"/>
      <c r="F730" s="331"/>
      <c r="G730" s="595"/>
      <c r="I730" s="89"/>
    </row>
    <row r="731">
      <c r="A731" s="31"/>
      <c r="B731" s="446"/>
      <c r="C731" s="31"/>
      <c r="D731" s="331"/>
      <c r="E731" s="331"/>
      <c r="F731" s="331"/>
      <c r="G731" s="595"/>
      <c r="I731" s="89"/>
    </row>
    <row r="732">
      <c r="A732" s="31"/>
      <c r="B732" s="446"/>
      <c r="C732" s="31"/>
      <c r="D732" s="331"/>
      <c r="E732" s="331"/>
      <c r="F732" s="331"/>
      <c r="G732" s="595"/>
      <c r="I732" s="89"/>
    </row>
    <row r="733">
      <c r="A733" s="31"/>
      <c r="B733" s="446"/>
      <c r="C733" s="31"/>
      <c r="D733" s="331"/>
      <c r="E733" s="331"/>
      <c r="F733" s="331"/>
      <c r="G733" s="595"/>
      <c r="I733" s="89"/>
    </row>
    <row r="734">
      <c r="A734" s="31"/>
      <c r="B734" s="446"/>
      <c r="C734" s="31"/>
      <c r="D734" s="331"/>
      <c r="E734" s="331"/>
      <c r="F734" s="331"/>
      <c r="G734" s="595"/>
      <c r="I734" s="89"/>
    </row>
    <row r="735">
      <c r="A735" s="31"/>
      <c r="B735" s="446"/>
      <c r="C735" s="31"/>
      <c r="D735" s="331"/>
      <c r="E735" s="331"/>
      <c r="F735" s="331"/>
      <c r="G735" s="595"/>
      <c r="I735" s="89"/>
    </row>
    <row r="736">
      <c r="A736" s="31"/>
      <c r="B736" s="446"/>
      <c r="C736" s="31"/>
      <c r="D736" s="331"/>
      <c r="E736" s="331"/>
      <c r="F736" s="331"/>
      <c r="G736" s="595"/>
      <c r="I736" s="89"/>
    </row>
    <row r="737">
      <c r="A737" s="31"/>
      <c r="B737" s="446"/>
      <c r="C737" s="31"/>
      <c r="D737" s="331"/>
      <c r="E737" s="331"/>
      <c r="F737" s="331"/>
      <c r="G737" s="595"/>
      <c r="I737" s="89"/>
    </row>
    <row r="738">
      <c r="A738" s="31"/>
      <c r="B738" s="446"/>
      <c r="C738" s="31"/>
      <c r="D738" s="331"/>
      <c r="E738" s="331"/>
      <c r="F738" s="331"/>
      <c r="G738" s="595"/>
      <c r="I738" s="89"/>
    </row>
    <row r="739">
      <c r="A739" s="31"/>
      <c r="B739" s="446"/>
      <c r="C739" s="31"/>
      <c r="D739" s="331"/>
      <c r="E739" s="331"/>
      <c r="F739" s="331"/>
      <c r="G739" s="595"/>
      <c r="I739" s="89"/>
    </row>
    <row r="740">
      <c r="A740" s="31"/>
      <c r="B740" s="446"/>
      <c r="C740" s="31"/>
      <c r="D740" s="331"/>
      <c r="E740" s="331"/>
      <c r="F740" s="331"/>
      <c r="G740" s="595"/>
      <c r="I740" s="89"/>
    </row>
    <row r="741">
      <c r="A741" s="31"/>
      <c r="B741" s="446"/>
      <c r="C741" s="31"/>
      <c r="D741" s="331"/>
      <c r="E741" s="331"/>
      <c r="F741" s="331"/>
      <c r="G741" s="595"/>
      <c r="I741" s="89"/>
    </row>
    <row r="742">
      <c r="A742" s="31"/>
      <c r="B742" s="446"/>
      <c r="C742" s="31"/>
      <c r="D742" s="331"/>
      <c r="E742" s="331"/>
      <c r="F742" s="331"/>
      <c r="G742" s="595"/>
      <c r="I742" s="89"/>
    </row>
    <row r="743">
      <c r="A743" s="31"/>
      <c r="B743" s="446"/>
      <c r="C743" s="31"/>
      <c r="D743" s="331"/>
      <c r="E743" s="331"/>
      <c r="F743" s="331"/>
      <c r="G743" s="595"/>
      <c r="I743" s="89"/>
    </row>
    <row r="744">
      <c r="A744" s="31"/>
      <c r="B744" s="446"/>
      <c r="C744" s="31"/>
      <c r="D744" s="331"/>
      <c r="E744" s="331"/>
      <c r="F744" s="331"/>
      <c r="G744" s="595"/>
      <c r="I744" s="89"/>
    </row>
    <row r="745">
      <c r="A745" s="31"/>
      <c r="B745" s="446"/>
      <c r="C745" s="31"/>
      <c r="D745" s="331"/>
      <c r="E745" s="331"/>
      <c r="F745" s="331"/>
      <c r="G745" s="595"/>
      <c r="I745" s="89"/>
    </row>
    <row r="746">
      <c r="A746" s="31"/>
      <c r="B746" s="446"/>
      <c r="C746" s="31"/>
      <c r="D746" s="331"/>
      <c r="E746" s="331"/>
      <c r="F746" s="331"/>
      <c r="G746" s="595"/>
      <c r="I746" s="89"/>
    </row>
    <row r="747">
      <c r="A747" s="31"/>
      <c r="B747" s="446"/>
      <c r="C747" s="31"/>
      <c r="D747" s="331"/>
      <c r="E747" s="331"/>
      <c r="F747" s="331"/>
      <c r="G747" s="595"/>
      <c r="I747" s="89"/>
    </row>
    <row r="748">
      <c r="A748" s="31"/>
      <c r="B748" s="446"/>
      <c r="C748" s="31"/>
      <c r="D748" s="331"/>
      <c r="E748" s="331"/>
      <c r="F748" s="331"/>
      <c r="G748" s="595"/>
      <c r="I748" s="89"/>
    </row>
    <row r="749">
      <c r="A749" s="31"/>
      <c r="B749" s="446"/>
      <c r="C749" s="31"/>
      <c r="D749" s="331"/>
      <c r="E749" s="331"/>
      <c r="F749" s="331"/>
      <c r="G749" s="595"/>
      <c r="I749" s="89"/>
    </row>
    <row r="750">
      <c r="A750" s="31"/>
      <c r="B750" s="446"/>
      <c r="C750" s="31"/>
      <c r="D750" s="331"/>
      <c r="E750" s="331"/>
      <c r="F750" s="331"/>
      <c r="G750" s="595"/>
      <c r="I750" s="89"/>
    </row>
    <row r="751">
      <c r="A751" s="31"/>
      <c r="B751" s="446"/>
      <c r="C751" s="31"/>
      <c r="D751" s="331"/>
      <c r="E751" s="331"/>
      <c r="F751" s="331"/>
      <c r="G751" s="595"/>
      <c r="I751" s="89"/>
    </row>
    <row r="752">
      <c r="A752" s="31"/>
      <c r="B752" s="446"/>
      <c r="C752" s="31"/>
      <c r="D752" s="331"/>
      <c r="E752" s="331"/>
      <c r="F752" s="331"/>
      <c r="G752" s="595"/>
      <c r="I752" s="89"/>
    </row>
    <row r="753">
      <c r="A753" s="31"/>
      <c r="B753" s="446"/>
      <c r="C753" s="31"/>
      <c r="D753" s="331"/>
      <c r="E753" s="331"/>
      <c r="F753" s="331"/>
      <c r="G753" s="595"/>
      <c r="I753" s="89"/>
    </row>
    <row r="754">
      <c r="A754" s="31"/>
      <c r="B754" s="446"/>
      <c r="C754" s="31"/>
      <c r="D754" s="331"/>
      <c r="E754" s="331"/>
      <c r="F754" s="331"/>
      <c r="G754" s="595"/>
      <c r="I754" s="89"/>
    </row>
    <row r="755">
      <c r="A755" s="31"/>
      <c r="B755" s="446"/>
      <c r="C755" s="31"/>
      <c r="D755" s="331"/>
      <c r="E755" s="331"/>
      <c r="F755" s="331"/>
      <c r="G755" s="595"/>
      <c r="I755" s="89"/>
    </row>
    <row r="756">
      <c r="A756" s="31"/>
      <c r="B756" s="446"/>
      <c r="C756" s="31"/>
      <c r="D756" s="331"/>
      <c r="E756" s="331"/>
      <c r="F756" s="331"/>
      <c r="G756" s="595"/>
      <c r="I756" s="89"/>
    </row>
    <row r="757">
      <c r="A757" s="31"/>
      <c r="B757" s="446"/>
      <c r="C757" s="31"/>
      <c r="D757" s="331"/>
      <c r="E757" s="331"/>
      <c r="F757" s="331"/>
      <c r="G757" s="595"/>
      <c r="I757" s="89"/>
    </row>
    <row r="758">
      <c r="A758" s="31"/>
      <c r="B758" s="446"/>
      <c r="C758" s="31"/>
      <c r="D758" s="331"/>
      <c r="E758" s="331"/>
      <c r="F758" s="331"/>
      <c r="G758" s="595"/>
      <c r="I758" s="89"/>
    </row>
    <row r="759">
      <c r="A759" s="31"/>
      <c r="B759" s="446"/>
      <c r="C759" s="31"/>
      <c r="D759" s="331"/>
      <c r="E759" s="331"/>
      <c r="F759" s="331"/>
      <c r="G759" s="595"/>
      <c r="I759" s="89"/>
    </row>
    <row r="760">
      <c r="A760" s="31"/>
      <c r="B760" s="446"/>
      <c r="C760" s="31"/>
      <c r="D760" s="331"/>
      <c r="E760" s="331"/>
      <c r="F760" s="331"/>
      <c r="G760" s="595"/>
      <c r="I760" s="89"/>
    </row>
    <row r="761">
      <c r="A761" s="31"/>
      <c r="B761" s="446"/>
      <c r="C761" s="31"/>
      <c r="D761" s="331"/>
      <c r="E761" s="331"/>
      <c r="F761" s="331"/>
      <c r="G761" s="595"/>
      <c r="I761" s="89"/>
    </row>
    <row r="762">
      <c r="A762" s="31"/>
      <c r="B762" s="446"/>
      <c r="C762" s="31"/>
      <c r="D762" s="331"/>
      <c r="E762" s="331"/>
      <c r="F762" s="331"/>
      <c r="G762" s="595"/>
      <c r="I762" s="89"/>
    </row>
    <row r="763">
      <c r="A763" s="31"/>
      <c r="B763" s="446"/>
      <c r="C763" s="31"/>
      <c r="D763" s="331"/>
      <c r="E763" s="331"/>
      <c r="F763" s="331"/>
      <c r="G763" s="595"/>
      <c r="I763" s="89"/>
    </row>
    <row r="764">
      <c r="A764" s="31"/>
      <c r="B764" s="446"/>
      <c r="C764" s="31"/>
      <c r="D764" s="331"/>
      <c r="E764" s="331"/>
      <c r="F764" s="331"/>
      <c r="G764" s="595"/>
      <c r="I764" s="89"/>
    </row>
    <row r="765">
      <c r="A765" s="31"/>
      <c r="B765" s="446"/>
      <c r="C765" s="31"/>
      <c r="D765" s="331"/>
      <c r="E765" s="331"/>
      <c r="F765" s="331"/>
      <c r="G765" s="595"/>
      <c r="I765" s="89"/>
    </row>
    <row r="766">
      <c r="A766" s="31"/>
      <c r="B766" s="446"/>
      <c r="C766" s="31"/>
      <c r="D766" s="331"/>
      <c r="E766" s="331"/>
      <c r="F766" s="331"/>
      <c r="G766" s="595"/>
      <c r="I766" s="89"/>
    </row>
    <row r="767">
      <c r="A767" s="31"/>
      <c r="B767" s="446"/>
      <c r="C767" s="31"/>
      <c r="D767" s="331"/>
      <c r="E767" s="331"/>
      <c r="F767" s="331"/>
      <c r="G767" s="595"/>
      <c r="I767" s="89"/>
    </row>
    <row r="768">
      <c r="A768" s="31"/>
      <c r="B768" s="446"/>
      <c r="C768" s="31"/>
      <c r="D768" s="331"/>
      <c r="E768" s="331"/>
      <c r="F768" s="331"/>
      <c r="G768" s="595"/>
      <c r="I768" s="89"/>
    </row>
    <row r="769">
      <c r="A769" s="31"/>
      <c r="B769" s="446"/>
      <c r="C769" s="31"/>
      <c r="D769" s="331"/>
      <c r="E769" s="331"/>
      <c r="F769" s="331"/>
      <c r="G769" s="595"/>
      <c r="I769" s="89"/>
    </row>
    <row r="770">
      <c r="A770" s="31"/>
      <c r="B770" s="446"/>
      <c r="C770" s="31"/>
      <c r="D770" s="331"/>
      <c r="E770" s="331"/>
      <c r="F770" s="331"/>
      <c r="G770" s="595"/>
      <c r="I770" s="89"/>
    </row>
    <row r="771">
      <c r="A771" s="31"/>
      <c r="B771" s="446"/>
      <c r="C771" s="31"/>
      <c r="D771" s="331"/>
      <c r="E771" s="331"/>
      <c r="F771" s="331"/>
      <c r="G771" s="595"/>
      <c r="I771" s="89"/>
    </row>
    <row r="772">
      <c r="A772" s="31"/>
      <c r="B772" s="446"/>
      <c r="C772" s="31"/>
      <c r="D772" s="331"/>
      <c r="E772" s="331"/>
      <c r="F772" s="331"/>
      <c r="G772" s="595"/>
      <c r="I772" s="89"/>
    </row>
    <row r="773">
      <c r="A773" s="31"/>
      <c r="B773" s="446"/>
      <c r="C773" s="31"/>
      <c r="D773" s="331"/>
      <c r="E773" s="331"/>
      <c r="F773" s="331"/>
      <c r="G773" s="595"/>
      <c r="I773" s="89"/>
    </row>
    <row r="774">
      <c r="A774" s="31"/>
      <c r="B774" s="446"/>
      <c r="C774" s="31"/>
      <c r="D774" s="331"/>
      <c r="E774" s="331"/>
      <c r="F774" s="331"/>
      <c r="G774" s="595"/>
      <c r="I774" s="89"/>
    </row>
    <row r="775">
      <c r="A775" s="31"/>
      <c r="B775" s="446"/>
      <c r="C775" s="31"/>
      <c r="D775" s="331"/>
      <c r="E775" s="331"/>
      <c r="F775" s="331"/>
      <c r="G775" s="595"/>
      <c r="I775" s="89"/>
    </row>
    <row r="776">
      <c r="A776" s="31"/>
      <c r="B776" s="446"/>
      <c r="C776" s="31"/>
      <c r="D776" s="331"/>
      <c r="E776" s="331"/>
      <c r="F776" s="331"/>
      <c r="G776" s="595"/>
      <c r="I776" s="89"/>
    </row>
    <row r="777">
      <c r="A777" s="31"/>
      <c r="B777" s="446"/>
      <c r="C777" s="31"/>
      <c r="D777" s="331"/>
      <c r="E777" s="331"/>
      <c r="F777" s="331"/>
      <c r="G777" s="595"/>
      <c r="I777" s="89"/>
    </row>
    <row r="778">
      <c r="A778" s="31"/>
      <c r="B778" s="446"/>
      <c r="C778" s="31"/>
      <c r="D778" s="331"/>
      <c r="E778" s="331"/>
      <c r="F778" s="331"/>
      <c r="G778" s="595"/>
      <c r="I778" s="89"/>
    </row>
    <row r="779">
      <c r="A779" s="31"/>
      <c r="B779" s="446"/>
      <c r="C779" s="31"/>
      <c r="D779" s="331"/>
      <c r="E779" s="331"/>
      <c r="F779" s="331"/>
      <c r="G779" s="595"/>
      <c r="I779" s="89"/>
    </row>
    <row r="780">
      <c r="A780" s="31"/>
      <c r="B780" s="446"/>
      <c r="C780" s="31"/>
      <c r="D780" s="331"/>
      <c r="E780" s="331"/>
      <c r="F780" s="331"/>
      <c r="G780" s="595"/>
      <c r="I780" s="89"/>
    </row>
    <row r="781">
      <c r="A781" s="31"/>
      <c r="B781" s="446"/>
      <c r="C781" s="31"/>
      <c r="D781" s="331"/>
      <c r="E781" s="331"/>
      <c r="F781" s="331"/>
      <c r="G781" s="595"/>
      <c r="I781" s="89"/>
    </row>
    <row r="782">
      <c r="A782" s="31"/>
      <c r="B782" s="446"/>
      <c r="C782" s="31"/>
      <c r="D782" s="331"/>
      <c r="E782" s="331"/>
      <c r="F782" s="331"/>
      <c r="G782" s="595"/>
      <c r="I782" s="89"/>
    </row>
    <row r="783">
      <c r="A783" s="31"/>
      <c r="B783" s="446"/>
      <c r="C783" s="31"/>
      <c r="D783" s="331"/>
      <c r="E783" s="331"/>
      <c r="F783" s="331"/>
      <c r="G783" s="595"/>
      <c r="I783" s="89"/>
    </row>
    <row r="784">
      <c r="A784" s="31"/>
      <c r="B784" s="446"/>
      <c r="C784" s="31"/>
      <c r="D784" s="331"/>
      <c r="E784" s="331"/>
      <c r="F784" s="331"/>
      <c r="G784" s="595"/>
      <c r="I784" s="89"/>
    </row>
    <row r="785">
      <c r="A785" s="31"/>
      <c r="B785" s="446"/>
      <c r="C785" s="31"/>
      <c r="D785" s="331"/>
      <c r="E785" s="331"/>
      <c r="F785" s="331"/>
      <c r="G785" s="595"/>
      <c r="I785" s="89"/>
    </row>
    <row r="786">
      <c r="A786" s="31"/>
      <c r="B786" s="446"/>
      <c r="C786" s="31"/>
      <c r="D786" s="331"/>
      <c r="E786" s="331"/>
      <c r="F786" s="331"/>
      <c r="G786" s="595"/>
      <c r="I786" s="89"/>
    </row>
    <row r="787">
      <c r="A787" s="31"/>
      <c r="B787" s="446"/>
      <c r="C787" s="31"/>
      <c r="D787" s="331"/>
      <c r="E787" s="331"/>
      <c r="F787" s="331"/>
      <c r="G787" s="595"/>
      <c r="I787" s="89"/>
    </row>
    <row r="788">
      <c r="A788" s="31"/>
      <c r="B788" s="446"/>
      <c r="C788" s="31"/>
      <c r="D788" s="331"/>
      <c r="E788" s="331"/>
      <c r="F788" s="331"/>
      <c r="G788" s="595"/>
      <c r="I788" s="89"/>
    </row>
    <row r="789">
      <c r="A789" s="31"/>
      <c r="B789" s="446"/>
      <c r="C789" s="31"/>
      <c r="D789" s="331"/>
      <c r="E789" s="331"/>
      <c r="F789" s="331"/>
      <c r="G789" s="595"/>
      <c r="I789" s="89"/>
    </row>
    <row r="790">
      <c r="A790" s="31"/>
      <c r="B790" s="446"/>
      <c r="C790" s="31"/>
      <c r="D790" s="331"/>
      <c r="E790" s="331"/>
      <c r="F790" s="331"/>
      <c r="G790" s="595"/>
      <c r="I790" s="89"/>
    </row>
    <row r="791">
      <c r="A791" s="31"/>
      <c r="B791" s="446"/>
      <c r="C791" s="31"/>
      <c r="D791" s="331"/>
      <c r="E791" s="331"/>
      <c r="F791" s="331"/>
      <c r="G791" s="595"/>
      <c r="I791" s="89"/>
    </row>
    <row r="792">
      <c r="A792" s="31"/>
      <c r="B792" s="446"/>
      <c r="C792" s="31"/>
      <c r="D792" s="331"/>
      <c r="E792" s="331"/>
      <c r="F792" s="331"/>
      <c r="G792" s="595"/>
      <c r="I792" s="89"/>
    </row>
    <row r="793">
      <c r="A793" s="31"/>
      <c r="B793" s="446"/>
      <c r="C793" s="31"/>
      <c r="D793" s="331"/>
      <c r="E793" s="331"/>
      <c r="F793" s="331"/>
      <c r="G793" s="595"/>
      <c r="I793" s="89"/>
    </row>
    <row r="794">
      <c r="A794" s="31"/>
      <c r="B794" s="446"/>
      <c r="C794" s="31"/>
      <c r="D794" s="331"/>
      <c r="E794" s="331"/>
      <c r="F794" s="331"/>
      <c r="G794" s="595"/>
      <c r="I794" s="89"/>
    </row>
    <row r="795">
      <c r="A795" s="31"/>
      <c r="B795" s="446"/>
      <c r="C795" s="31"/>
      <c r="D795" s="331"/>
      <c r="E795" s="331"/>
      <c r="F795" s="331"/>
      <c r="G795" s="595"/>
      <c r="I795" s="89"/>
    </row>
    <row r="796">
      <c r="A796" s="31"/>
      <c r="B796" s="446"/>
      <c r="C796" s="31"/>
      <c r="D796" s="331"/>
      <c r="E796" s="331"/>
      <c r="F796" s="331"/>
      <c r="G796" s="595"/>
      <c r="I796" s="89"/>
    </row>
    <row r="797">
      <c r="A797" s="31"/>
      <c r="B797" s="446"/>
      <c r="C797" s="31"/>
      <c r="D797" s="331"/>
      <c r="E797" s="331"/>
      <c r="F797" s="331"/>
      <c r="G797" s="595"/>
      <c r="I797" s="89"/>
    </row>
    <row r="798">
      <c r="A798" s="31"/>
      <c r="B798" s="446"/>
      <c r="C798" s="31"/>
      <c r="D798" s="331"/>
      <c r="E798" s="331"/>
      <c r="F798" s="331"/>
      <c r="G798" s="595"/>
      <c r="I798" s="89"/>
    </row>
    <row r="799">
      <c r="A799" s="31"/>
      <c r="B799" s="446"/>
      <c r="C799" s="31"/>
      <c r="D799" s="331"/>
      <c r="E799" s="331"/>
      <c r="F799" s="331"/>
      <c r="G799" s="595"/>
      <c r="I799" s="89"/>
    </row>
    <row r="800">
      <c r="A800" s="31"/>
      <c r="B800" s="446"/>
      <c r="C800" s="31"/>
      <c r="D800" s="331"/>
      <c r="E800" s="331"/>
      <c r="F800" s="331"/>
      <c r="G800" s="595"/>
      <c r="I800" s="89"/>
    </row>
    <row r="801">
      <c r="A801" s="31"/>
      <c r="B801" s="446"/>
      <c r="C801" s="31"/>
      <c r="D801" s="331"/>
      <c r="E801" s="331"/>
      <c r="F801" s="331"/>
      <c r="G801" s="595"/>
      <c r="I801" s="89"/>
    </row>
    <row r="802">
      <c r="A802" s="31"/>
      <c r="B802" s="446"/>
      <c r="C802" s="31"/>
      <c r="D802" s="331"/>
      <c r="E802" s="331"/>
      <c r="F802" s="331"/>
      <c r="G802" s="595"/>
      <c r="I802" s="89"/>
    </row>
    <row r="803">
      <c r="A803" s="31"/>
      <c r="B803" s="446"/>
      <c r="C803" s="31"/>
      <c r="D803" s="331"/>
      <c r="E803" s="331"/>
      <c r="F803" s="331"/>
      <c r="G803" s="595"/>
      <c r="I803" s="89"/>
    </row>
    <row r="804">
      <c r="A804" s="31"/>
      <c r="B804" s="446"/>
      <c r="C804" s="31"/>
      <c r="D804" s="331"/>
      <c r="E804" s="331"/>
      <c r="F804" s="331"/>
      <c r="G804" s="595"/>
      <c r="I804" s="89"/>
    </row>
    <row r="805">
      <c r="A805" s="31"/>
      <c r="B805" s="446"/>
      <c r="C805" s="31"/>
      <c r="D805" s="331"/>
      <c r="E805" s="331"/>
      <c r="F805" s="331"/>
      <c r="G805" s="595"/>
      <c r="I805" s="89"/>
    </row>
    <row r="806">
      <c r="A806" s="31"/>
      <c r="B806" s="446"/>
      <c r="C806" s="31"/>
      <c r="D806" s="331"/>
      <c r="E806" s="331"/>
      <c r="F806" s="331"/>
      <c r="G806" s="595"/>
      <c r="I806" s="89"/>
    </row>
    <row r="807">
      <c r="A807" s="31"/>
      <c r="B807" s="446"/>
      <c r="C807" s="31"/>
      <c r="D807" s="331"/>
      <c r="E807" s="331"/>
      <c r="F807" s="331"/>
      <c r="G807" s="595"/>
      <c r="I807" s="89"/>
    </row>
    <row r="808">
      <c r="A808" s="31"/>
      <c r="B808" s="446"/>
      <c r="C808" s="31"/>
      <c r="D808" s="331"/>
      <c r="E808" s="331"/>
      <c r="F808" s="331"/>
      <c r="G808" s="595"/>
      <c r="I808" s="89"/>
    </row>
    <row r="809">
      <c r="A809" s="31"/>
      <c r="B809" s="446"/>
      <c r="C809" s="31"/>
      <c r="D809" s="331"/>
      <c r="E809" s="331"/>
      <c r="F809" s="331"/>
      <c r="G809" s="595"/>
      <c r="I809" s="89"/>
    </row>
    <row r="810">
      <c r="A810" s="31"/>
      <c r="B810" s="446"/>
      <c r="C810" s="31"/>
      <c r="D810" s="331"/>
      <c r="E810" s="331"/>
      <c r="F810" s="331"/>
      <c r="G810" s="595"/>
      <c r="I810" s="89"/>
    </row>
    <row r="811">
      <c r="A811" s="31"/>
      <c r="B811" s="446"/>
      <c r="C811" s="31"/>
      <c r="D811" s="331"/>
      <c r="E811" s="331"/>
      <c r="F811" s="331"/>
      <c r="G811" s="595"/>
      <c r="I811" s="89"/>
    </row>
    <row r="812">
      <c r="A812" s="31"/>
      <c r="B812" s="446"/>
      <c r="C812" s="31"/>
      <c r="D812" s="331"/>
      <c r="E812" s="331"/>
      <c r="F812" s="331"/>
      <c r="G812" s="595"/>
      <c r="I812" s="89"/>
    </row>
    <row r="813">
      <c r="A813" s="31"/>
      <c r="B813" s="446"/>
      <c r="C813" s="31"/>
      <c r="D813" s="331"/>
      <c r="E813" s="331"/>
      <c r="F813" s="331"/>
      <c r="G813" s="595"/>
      <c r="I813" s="89"/>
    </row>
    <row r="814">
      <c r="A814" s="31"/>
      <c r="B814" s="446"/>
      <c r="C814" s="31"/>
      <c r="D814" s="331"/>
      <c r="E814" s="331"/>
      <c r="F814" s="331"/>
      <c r="G814" s="595"/>
      <c r="I814" s="89"/>
    </row>
    <row r="815">
      <c r="A815" s="31"/>
      <c r="B815" s="446"/>
      <c r="C815" s="31"/>
      <c r="D815" s="331"/>
      <c r="E815" s="331"/>
      <c r="F815" s="331"/>
      <c r="G815" s="595"/>
      <c r="I815" s="89"/>
    </row>
    <row r="816">
      <c r="A816" s="31"/>
      <c r="B816" s="446"/>
      <c r="C816" s="31"/>
      <c r="D816" s="331"/>
      <c r="E816" s="331"/>
      <c r="F816" s="331"/>
      <c r="G816" s="595"/>
      <c r="I816" s="89"/>
    </row>
    <row r="817">
      <c r="A817" s="31"/>
      <c r="B817" s="446"/>
      <c r="C817" s="31"/>
      <c r="D817" s="331"/>
      <c r="E817" s="331"/>
      <c r="F817" s="331"/>
      <c r="G817" s="595"/>
      <c r="I817" s="89"/>
    </row>
    <row r="818">
      <c r="A818" s="31"/>
      <c r="B818" s="446"/>
      <c r="C818" s="31"/>
      <c r="D818" s="331"/>
      <c r="E818" s="331"/>
      <c r="F818" s="331"/>
      <c r="G818" s="595"/>
      <c r="I818" s="89"/>
    </row>
    <row r="819">
      <c r="A819" s="31"/>
      <c r="B819" s="446"/>
      <c r="C819" s="31"/>
      <c r="D819" s="331"/>
      <c r="E819" s="331"/>
      <c r="F819" s="331"/>
      <c r="G819" s="595"/>
      <c r="I819" s="89"/>
    </row>
    <row r="820">
      <c r="A820" s="31"/>
      <c r="B820" s="446"/>
      <c r="C820" s="31"/>
      <c r="D820" s="331"/>
      <c r="E820" s="331"/>
      <c r="F820" s="331"/>
      <c r="G820" s="595"/>
      <c r="I820" s="89"/>
    </row>
    <row r="821">
      <c r="A821" s="31"/>
      <c r="B821" s="446"/>
      <c r="C821" s="31"/>
      <c r="D821" s="331"/>
      <c r="E821" s="331"/>
      <c r="F821" s="331"/>
      <c r="G821" s="595"/>
      <c r="I821" s="89"/>
    </row>
    <row r="822">
      <c r="A822" s="31"/>
      <c r="B822" s="446"/>
      <c r="C822" s="31"/>
      <c r="D822" s="331"/>
      <c r="E822" s="331"/>
      <c r="F822" s="331"/>
      <c r="G822" s="595"/>
      <c r="I822" s="89"/>
    </row>
    <row r="823">
      <c r="A823" s="31"/>
      <c r="B823" s="446"/>
      <c r="C823" s="31"/>
      <c r="D823" s="331"/>
      <c r="E823" s="331"/>
      <c r="F823" s="331"/>
      <c r="G823" s="595"/>
      <c r="I823" s="89"/>
    </row>
    <row r="824">
      <c r="A824" s="31"/>
      <c r="B824" s="446"/>
      <c r="C824" s="31"/>
      <c r="D824" s="331"/>
      <c r="E824" s="331"/>
      <c r="F824" s="331"/>
      <c r="G824" s="595"/>
      <c r="I824" s="89"/>
    </row>
    <row r="825">
      <c r="A825" s="31"/>
      <c r="B825" s="446"/>
      <c r="C825" s="31"/>
      <c r="D825" s="331"/>
      <c r="E825" s="331"/>
      <c r="F825" s="331"/>
      <c r="G825" s="595"/>
      <c r="I825" s="89"/>
    </row>
    <row r="826">
      <c r="A826" s="31"/>
      <c r="B826" s="446"/>
      <c r="C826" s="31"/>
      <c r="D826" s="331"/>
      <c r="E826" s="331"/>
      <c r="F826" s="331"/>
      <c r="G826" s="595"/>
      <c r="I826" s="89"/>
    </row>
    <row r="827">
      <c r="A827" s="31"/>
      <c r="B827" s="446"/>
      <c r="C827" s="31"/>
      <c r="D827" s="331"/>
      <c r="E827" s="331"/>
      <c r="F827" s="331"/>
      <c r="G827" s="595"/>
      <c r="I827" s="89"/>
    </row>
    <row r="828">
      <c r="A828" s="31"/>
      <c r="B828" s="446"/>
      <c r="C828" s="31"/>
      <c r="D828" s="331"/>
      <c r="E828" s="331"/>
      <c r="F828" s="331"/>
      <c r="G828" s="595"/>
      <c r="I828" s="89"/>
    </row>
    <row r="829">
      <c r="A829" s="31"/>
      <c r="B829" s="446"/>
      <c r="C829" s="31"/>
      <c r="D829" s="331"/>
      <c r="E829" s="331"/>
      <c r="F829" s="331"/>
      <c r="G829" s="595"/>
      <c r="I829" s="89"/>
    </row>
    <row r="830">
      <c r="A830" s="31"/>
      <c r="B830" s="446"/>
      <c r="C830" s="31"/>
      <c r="D830" s="331"/>
      <c r="E830" s="331"/>
      <c r="F830" s="331"/>
      <c r="G830" s="595"/>
      <c r="I830" s="89"/>
    </row>
    <row r="831">
      <c r="A831" s="31"/>
      <c r="B831" s="446"/>
      <c r="C831" s="31"/>
      <c r="D831" s="331"/>
      <c r="E831" s="331"/>
      <c r="F831" s="331"/>
      <c r="G831" s="595"/>
      <c r="I831" s="89"/>
    </row>
    <row r="832">
      <c r="A832" s="31"/>
      <c r="B832" s="446"/>
      <c r="C832" s="31"/>
      <c r="D832" s="331"/>
      <c r="E832" s="331"/>
      <c r="F832" s="331"/>
      <c r="G832" s="595"/>
      <c r="I832" s="89"/>
    </row>
    <row r="833">
      <c r="A833" s="31"/>
      <c r="B833" s="446"/>
      <c r="C833" s="31"/>
      <c r="D833" s="331"/>
      <c r="E833" s="331"/>
      <c r="F833" s="331"/>
      <c r="G833" s="595"/>
      <c r="I833" s="89"/>
    </row>
    <row r="834">
      <c r="A834" s="31"/>
      <c r="B834" s="446"/>
      <c r="C834" s="31"/>
      <c r="D834" s="331"/>
      <c r="E834" s="331"/>
      <c r="F834" s="331"/>
      <c r="G834" s="595"/>
      <c r="I834" s="89"/>
    </row>
    <row r="835">
      <c r="A835" s="31"/>
      <c r="B835" s="446"/>
      <c r="C835" s="31"/>
      <c r="D835" s="331"/>
      <c r="E835" s="331"/>
      <c r="F835" s="331"/>
      <c r="G835" s="595"/>
      <c r="I835" s="89"/>
    </row>
    <row r="836">
      <c r="A836" s="31"/>
      <c r="B836" s="446"/>
      <c r="C836" s="31"/>
      <c r="D836" s="331"/>
      <c r="E836" s="331"/>
      <c r="F836" s="331"/>
      <c r="G836" s="595"/>
      <c r="I836" s="89"/>
    </row>
    <row r="837">
      <c r="A837" s="31"/>
      <c r="B837" s="446"/>
      <c r="C837" s="31"/>
      <c r="D837" s="331"/>
      <c r="E837" s="331"/>
      <c r="F837" s="331"/>
      <c r="G837" s="595"/>
      <c r="I837" s="89"/>
    </row>
    <row r="838">
      <c r="A838" s="31"/>
      <c r="B838" s="446"/>
      <c r="C838" s="31"/>
      <c r="D838" s="331"/>
      <c r="E838" s="331"/>
      <c r="F838" s="331"/>
      <c r="G838" s="595"/>
      <c r="I838" s="89"/>
    </row>
    <row r="839">
      <c r="A839" s="31"/>
      <c r="B839" s="446"/>
      <c r="C839" s="31"/>
      <c r="D839" s="331"/>
      <c r="E839" s="331"/>
      <c r="F839" s="331"/>
      <c r="G839" s="595"/>
      <c r="I839" s="89"/>
    </row>
    <row r="840">
      <c r="A840" s="31"/>
      <c r="B840" s="446"/>
      <c r="C840" s="31"/>
      <c r="D840" s="331"/>
      <c r="E840" s="331"/>
      <c r="F840" s="331"/>
      <c r="G840" s="595"/>
      <c r="I840" s="89"/>
    </row>
    <row r="841">
      <c r="A841" s="31"/>
      <c r="B841" s="446"/>
      <c r="C841" s="31"/>
      <c r="D841" s="331"/>
      <c r="E841" s="331"/>
      <c r="F841" s="331"/>
      <c r="G841" s="595"/>
      <c r="I841" s="89"/>
    </row>
    <row r="842">
      <c r="A842" s="31"/>
      <c r="B842" s="446"/>
      <c r="C842" s="31"/>
      <c r="D842" s="331"/>
      <c r="E842" s="331"/>
      <c r="F842" s="331"/>
      <c r="G842" s="595"/>
      <c r="I842" s="89"/>
    </row>
    <row r="843">
      <c r="A843" s="31"/>
      <c r="B843" s="446"/>
      <c r="C843" s="31"/>
      <c r="D843" s="331"/>
      <c r="E843" s="331"/>
      <c r="F843" s="331"/>
      <c r="G843" s="595"/>
      <c r="I843" s="89"/>
    </row>
    <row r="844">
      <c r="A844" s="31"/>
      <c r="B844" s="446"/>
      <c r="C844" s="31"/>
      <c r="D844" s="331"/>
      <c r="E844" s="331"/>
      <c r="F844" s="331"/>
      <c r="G844" s="595"/>
      <c r="I844" s="89"/>
    </row>
    <row r="845">
      <c r="A845" s="31"/>
      <c r="B845" s="446"/>
      <c r="C845" s="31"/>
      <c r="D845" s="331"/>
      <c r="E845" s="331"/>
      <c r="F845" s="331"/>
      <c r="G845" s="595"/>
      <c r="I845" s="89"/>
    </row>
    <row r="846">
      <c r="A846" s="31"/>
      <c r="B846" s="446"/>
      <c r="C846" s="31"/>
      <c r="D846" s="331"/>
      <c r="E846" s="331"/>
      <c r="F846" s="331"/>
      <c r="G846" s="595"/>
      <c r="I846" s="89"/>
    </row>
    <row r="847">
      <c r="A847" s="31"/>
      <c r="B847" s="446"/>
      <c r="C847" s="31"/>
      <c r="D847" s="331"/>
      <c r="E847" s="331"/>
      <c r="F847" s="331"/>
      <c r="G847" s="595"/>
      <c r="I847" s="89"/>
    </row>
    <row r="848">
      <c r="A848" s="31"/>
      <c r="B848" s="446"/>
      <c r="C848" s="31"/>
      <c r="D848" s="331"/>
      <c r="E848" s="331"/>
      <c r="F848" s="331"/>
      <c r="G848" s="595"/>
      <c r="I848" s="89"/>
    </row>
    <row r="849">
      <c r="A849" s="31"/>
      <c r="B849" s="446"/>
      <c r="C849" s="31"/>
      <c r="D849" s="331"/>
      <c r="E849" s="331"/>
      <c r="F849" s="331"/>
      <c r="G849" s="595"/>
      <c r="I849" s="89"/>
    </row>
    <row r="850">
      <c r="A850" s="31"/>
      <c r="B850" s="446"/>
      <c r="C850" s="31"/>
      <c r="D850" s="331"/>
      <c r="E850" s="331"/>
      <c r="F850" s="331"/>
      <c r="G850" s="595"/>
      <c r="I850" s="89"/>
    </row>
    <row r="851">
      <c r="A851" s="31"/>
      <c r="B851" s="446"/>
      <c r="C851" s="31"/>
      <c r="D851" s="331"/>
      <c r="E851" s="331"/>
      <c r="F851" s="331"/>
      <c r="G851" s="595"/>
      <c r="I851" s="89"/>
    </row>
    <row r="852">
      <c r="A852" s="31"/>
      <c r="B852" s="446"/>
      <c r="C852" s="31"/>
      <c r="D852" s="331"/>
      <c r="E852" s="331"/>
      <c r="F852" s="331"/>
      <c r="G852" s="595"/>
      <c r="I852" s="89"/>
    </row>
    <row r="853">
      <c r="A853" s="31"/>
      <c r="B853" s="446"/>
      <c r="C853" s="31"/>
      <c r="D853" s="331"/>
      <c r="E853" s="331"/>
      <c r="F853" s="331"/>
      <c r="G853" s="595"/>
      <c r="I853" s="89"/>
    </row>
    <row r="854">
      <c r="A854" s="31"/>
      <c r="B854" s="446"/>
      <c r="C854" s="31"/>
      <c r="D854" s="331"/>
      <c r="E854" s="331"/>
      <c r="F854" s="331"/>
      <c r="G854" s="595"/>
      <c r="I854" s="89"/>
    </row>
    <row r="855">
      <c r="A855" s="31"/>
      <c r="B855" s="446"/>
      <c r="C855" s="31"/>
      <c r="D855" s="331"/>
      <c r="E855" s="331"/>
      <c r="F855" s="331"/>
      <c r="G855" s="595"/>
      <c r="I855" s="89"/>
    </row>
    <row r="856">
      <c r="A856" s="31"/>
      <c r="B856" s="446"/>
      <c r="C856" s="31"/>
      <c r="D856" s="331"/>
      <c r="E856" s="331"/>
      <c r="F856" s="331"/>
      <c r="G856" s="595"/>
      <c r="I856" s="89"/>
    </row>
    <row r="857">
      <c r="A857" s="31"/>
      <c r="B857" s="446"/>
      <c r="C857" s="31"/>
      <c r="D857" s="331"/>
      <c r="E857" s="331"/>
      <c r="F857" s="331"/>
      <c r="G857" s="595"/>
      <c r="I857" s="89"/>
    </row>
    <row r="858">
      <c r="A858" s="31"/>
      <c r="B858" s="446"/>
      <c r="C858" s="31"/>
      <c r="D858" s="331"/>
      <c r="E858" s="331"/>
      <c r="F858" s="331"/>
      <c r="G858" s="595"/>
      <c r="I858" s="89"/>
    </row>
    <row r="859">
      <c r="A859" s="31"/>
      <c r="B859" s="446"/>
      <c r="C859" s="31"/>
      <c r="D859" s="331"/>
      <c r="E859" s="331"/>
      <c r="F859" s="331"/>
      <c r="G859" s="595"/>
      <c r="I859" s="89"/>
    </row>
    <row r="860">
      <c r="A860" s="31"/>
      <c r="B860" s="446"/>
      <c r="C860" s="31"/>
      <c r="D860" s="331"/>
      <c r="E860" s="331"/>
      <c r="F860" s="331"/>
      <c r="G860" s="595"/>
      <c r="I860" s="89"/>
    </row>
    <row r="861">
      <c r="A861" s="31"/>
      <c r="B861" s="446"/>
      <c r="C861" s="31"/>
      <c r="D861" s="331"/>
      <c r="E861" s="331"/>
      <c r="F861" s="331"/>
      <c r="G861" s="595"/>
      <c r="I861" s="89"/>
    </row>
    <row r="862">
      <c r="A862" s="31"/>
      <c r="B862" s="446"/>
      <c r="C862" s="31"/>
      <c r="D862" s="331"/>
      <c r="E862" s="331"/>
      <c r="F862" s="331"/>
      <c r="G862" s="595"/>
      <c r="I862" s="89"/>
    </row>
    <row r="863">
      <c r="A863" s="31"/>
      <c r="B863" s="446"/>
      <c r="C863" s="31"/>
      <c r="D863" s="331"/>
      <c r="E863" s="331"/>
      <c r="F863" s="331"/>
      <c r="G863" s="595"/>
      <c r="I863" s="89"/>
    </row>
    <row r="864">
      <c r="A864" s="31"/>
      <c r="B864" s="446"/>
      <c r="C864" s="31"/>
      <c r="D864" s="331"/>
      <c r="E864" s="331"/>
      <c r="F864" s="331"/>
      <c r="G864" s="595"/>
      <c r="I864" s="89"/>
    </row>
    <row r="865">
      <c r="A865" s="31"/>
      <c r="B865" s="446"/>
      <c r="C865" s="31"/>
      <c r="D865" s="331"/>
      <c r="E865" s="331"/>
      <c r="F865" s="331"/>
      <c r="G865" s="595"/>
      <c r="I865" s="89"/>
    </row>
    <row r="866">
      <c r="A866" s="31"/>
      <c r="B866" s="446"/>
      <c r="C866" s="31"/>
      <c r="D866" s="331"/>
      <c r="E866" s="331"/>
      <c r="F866" s="331"/>
      <c r="G866" s="595"/>
      <c r="I866" s="89"/>
    </row>
    <row r="867">
      <c r="A867" s="31"/>
      <c r="B867" s="446"/>
      <c r="C867" s="31"/>
      <c r="D867" s="331"/>
      <c r="E867" s="331"/>
      <c r="F867" s="331"/>
      <c r="G867" s="595"/>
      <c r="I867" s="89"/>
    </row>
    <row r="868">
      <c r="A868" s="31"/>
      <c r="B868" s="446"/>
      <c r="C868" s="31"/>
      <c r="D868" s="331"/>
      <c r="E868" s="331"/>
      <c r="F868" s="331"/>
      <c r="G868" s="595"/>
      <c r="I868" s="89"/>
    </row>
    <row r="869">
      <c r="A869" s="31"/>
      <c r="B869" s="446"/>
      <c r="C869" s="31"/>
      <c r="D869" s="331"/>
      <c r="E869" s="331"/>
      <c r="F869" s="331"/>
      <c r="G869" s="595"/>
      <c r="I869" s="89"/>
    </row>
    <row r="870">
      <c r="A870" s="31"/>
      <c r="B870" s="446"/>
      <c r="C870" s="31"/>
      <c r="D870" s="331"/>
      <c r="E870" s="331"/>
      <c r="F870" s="331"/>
      <c r="G870" s="595"/>
      <c r="I870" s="89"/>
    </row>
    <row r="871">
      <c r="A871" s="31"/>
      <c r="B871" s="446"/>
      <c r="C871" s="31"/>
      <c r="D871" s="331"/>
      <c r="E871" s="331"/>
      <c r="F871" s="331"/>
      <c r="G871" s="595"/>
      <c r="I871" s="89"/>
    </row>
    <row r="872">
      <c r="A872" s="31"/>
      <c r="B872" s="446"/>
      <c r="C872" s="31"/>
      <c r="D872" s="331"/>
      <c r="E872" s="331"/>
      <c r="F872" s="331"/>
      <c r="G872" s="595"/>
      <c r="I872" s="89"/>
    </row>
    <row r="873">
      <c r="A873" s="31"/>
      <c r="B873" s="446"/>
      <c r="C873" s="31"/>
      <c r="D873" s="331"/>
      <c r="E873" s="331"/>
      <c r="F873" s="331"/>
      <c r="G873" s="595"/>
      <c r="I873" s="89"/>
    </row>
    <row r="874">
      <c r="A874" s="31"/>
      <c r="B874" s="446"/>
      <c r="C874" s="31"/>
      <c r="D874" s="331"/>
      <c r="E874" s="331"/>
      <c r="F874" s="331"/>
      <c r="G874" s="595"/>
      <c r="I874" s="89"/>
    </row>
    <row r="875">
      <c r="A875" s="31"/>
      <c r="B875" s="446"/>
      <c r="C875" s="31"/>
      <c r="D875" s="331"/>
      <c r="E875" s="331"/>
      <c r="F875" s="331"/>
      <c r="G875" s="595"/>
      <c r="I875" s="89"/>
    </row>
    <row r="876">
      <c r="A876" s="31"/>
      <c r="B876" s="446"/>
      <c r="C876" s="31"/>
      <c r="D876" s="331"/>
      <c r="E876" s="331"/>
      <c r="F876" s="331"/>
      <c r="G876" s="595"/>
      <c r="I876" s="89"/>
    </row>
    <row r="877">
      <c r="A877" s="31"/>
      <c r="B877" s="446"/>
      <c r="C877" s="31"/>
      <c r="D877" s="331"/>
      <c r="E877" s="331"/>
      <c r="F877" s="331"/>
      <c r="G877" s="595"/>
      <c r="I877" s="89"/>
    </row>
    <row r="878">
      <c r="A878" s="31"/>
      <c r="B878" s="446"/>
      <c r="C878" s="31"/>
      <c r="D878" s="331"/>
      <c r="E878" s="331"/>
      <c r="F878" s="331"/>
      <c r="G878" s="595"/>
      <c r="I878" s="89"/>
    </row>
    <row r="879">
      <c r="A879" s="31"/>
      <c r="B879" s="446"/>
      <c r="C879" s="31"/>
      <c r="D879" s="331"/>
      <c r="E879" s="331"/>
      <c r="F879" s="331"/>
      <c r="G879" s="595"/>
      <c r="I879" s="89"/>
    </row>
    <row r="880">
      <c r="A880" s="31"/>
      <c r="B880" s="446"/>
      <c r="C880" s="31"/>
      <c r="D880" s="331"/>
      <c r="E880" s="331"/>
      <c r="F880" s="331"/>
      <c r="G880" s="595"/>
      <c r="I880" s="89"/>
    </row>
    <row r="881">
      <c r="A881" s="31"/>
      <c r="B881" s="446"/>
      <c r="C881" s="31"/>
      <c r="D881" s="331"/>
      <c r="E881" s="331"/>
      <c r="F881" s="331"/>
      <c r="G881" s="595"/>
      <c r="I881" s="89"/>
    </row>
    <row r="882">
      <c r="A882" s="31"/>
      <c r="B882" s="446"/>
      <c r="C882" s="31"/>
      <c r="D882" s="331"/>
      <c r="E882" s="331"/>
      <c r="F882" s="331"/>
      <c r="G882" s="595"/>
      <c r="I882" s="89"/>
    </row>
    <row r="883">
      <c r="A883" s="31"/>
      <c r="B883" s="446"/>
      <c r="C883" s="31"/>
      <c r="D883" s="331"/>
      <c r="E883" s="331"/>
      <c r="F883" s="331"/>
      <c r="G883" s="595"/>
      <c r="I883" s="89"/>
    </row>
    <row r="884">
      <c r="A884" s="31"/>
      <c r="B884" s="446"/>
      <c r="C884" s="31"/>
      <c r="D884" s="331"/>
      <c r="E884" s="331"/>
      <c r="F884" s="331"/>
      <c r="G884" s="595"/>
      <c r="I884" s="89"/>
    </row>
    <row r="885">
      <c r="A885" s="31"/>
      <c r="B885" s="446"/>
      <c r="C885" s="31"/>
      <c r="D885" s="331"/>
      <c r="E885" s="331"/>
      <c r="F885" s="331"/>
      <c r="G885" s="595"/>
      <c r="I885" s="89"/>
    </row>
    <row r="886">
      <c r="A886" s="31"/>
      <c r="B886" s="446"/>
      <c r="C886" s="31"/>
      <c r="D886" s="331"/>
      <c r="E886" s="331"/>
      <c r="F886" s="331"/>
      <c r="G886" s="595"/>
      <c r="I886" s="89"/>
    </row>
    <row r="887">
      <c r="A887" s="31"/>
      <c r="B887" s="446"/>
      <c r="C887" s="31"/>
      <c r="D887" s="331"/>
      <c r="E887" s="331"/>
      <c r="F887" s="331"/>
      <c r="G887" s="595"/>
      <c r="I887" s="89"/>
    </row>
    <row r="888">
      <c r="A888" s="31"/>
      <c r="B888" s="446"/>
      <c r="C888" s="31"/>
      <c r="D888" s="331"/>
      <c r="E888" s="331"/>
      <c r="F888" s="331"/>
      <c r="G888" s="595"/>
      <c r="I888" s="89"/>
    </row>
    <row r="889">
      <c r="A889" s="31"/>
      <c r="B889" s="446"/>
      <c r="C889" s="31"/>
      <c r="D889" s="331"/>
      <c r="E889" s="331"/>
      <c r="F889" s="331"/>
      <c r="G889" s="595"/>
      <c r="I889" s="89"/>
    </row>
    <row r="890">
      <c r="A890" s="31"/>
      <c r="B890" s="446"/>
      <c r="C890" s="31"/>
      <c r="D890" s="331"/>
      <c r="E890" s="331"/>
      <c r="F890" s="331"/>
      <c r="G890" s="595"/>
      <c r="I890" s="89"/>
    </row>
    <row r="891">
      <c r="A891" s="31"/>
      <c r="B891" s="446"/>
      <c r="C891" s="31"/>
      <c r="D891" s="331"/>
      <c r="E891" s="331"/>
      <c r="F891" s="331"/>
      <c r="G891" s="595"/>
      <c r="I891" s="89"/>
    </row>
    <row r="892">
      <c r="A892" s="31"/>
      <c r="B892" s="446"/>
      <c r="C892" s="31"/>
      <c r="D892" s="331"/>
      <c r="E892" s="331"/>
      <c r="F892" s="331"/>
      <c r="G892" s="595"/>
      <c r="I892" s="89"/>
    </row>
    <row r="893">
      <c r="A893" s="31"/>
      <c r="B893" s="446"/>
      <c r="C893" s="31"/>
      <c r="D893" s="331"/>
      <c r="E893" s="331"/>
      <c r="F893" s="331"/>
      <c r="G893" s="595"/>
      <c r="I893" s="89"/>
    </row>
    <row r="894">
      <c r="A894" s="31"/>
      <c r="B894" s="446"/>
      <c r="C894" s="31"/>
      <c r="D894" s="331"/>
      <c r="E894" s="331"/>
      <c r="F894" s="331"/>
      <c r="G894" s="595"/>
      <c r="I894" s="89"/>
    </row>
    <row r="895">
      <c r="A895" s="31"/>
      <c r="B895" s="446"/>
      <c r="C895" s="31"/>
      <c r="D895" s="331"/>
      <c r="E895" s="331"/>
      <c r="F895" s="331"/>
      <c r="G895" s="595"/>
      <c r="I895" s="89"/>
    </row>
    <row r="896">
      <c r="A896" s="31"/>
      <c r="B896" s="446"/>
      <c r="C896" s="31"/>
      <c r="D896" s="331"/>
      <c r="E896" s="331"/>
      <c r="F896" s="331"/>
      <c r="G896" s="595"/>
      <c r="I896" s="89"/>
    </row>
    <row r="897">
      <c r="A897" s="31"/>
      <c r="B897" s="446"/>
      <c r="C897" s="31"/>
      <c r="D897" s="331"/>
      <c r="E897" s="331"/>
      <c r="F897" s="331"/>
      <c r="G897" s="595"/>
      <c r="I897" s="89"/>
    </row>
    <row r="898">
      <c r="A898" s="31"/>
      <c r="B898" s="446"/>
      <c r="C898" s="31"/>
      <c r="D898" s="331"/>
      <c r="E898" s="331"/>
      <c r="F898" s="331"/>
      <c r="G898" s="595"/>
      <c r="I898" s="89"/>
    </row>
    <row r="899">
      <c r="A899" s="31"/>
      <c r="B899" s="446"/>
      <c r="C899" s="31"/>
      <c r="D899" s="331"/>
      <c r="E899" s="331"/>
      <c r="F899" s="331"/>
      <c r="G899" s="595"/>
      <c r="I899" s="89"/>
    </row>
    <row r="900">
      <c r="A900" s="31"/>
      <c r="B900" s="446"/>
      <c r="C900" s="31"/>
      <c r="D900" s="331"/>
      <c r="E900" s="331"/>
      <c r="F900" s="331"/>
      <c r="G900" s="595"/>
      <c r="I900" s="89"/>
    </row>
    <row r="901">
      <c r="A901" s="31"/>
      <c r="B901" s="446"/>
      <c r="C901" s="31"/>
      <c r="D901" s="331"/>
      <c r="E901" s="331"/>
      <c r="F901" s="331"/>
      <c r="G901" s="595"/>
      <c r="I901" s="89"/>
    </row>
    <row r="902">
      <c r="A902" s="31"/>
      <c r="B902" s="446"/>
      <c r="C902" s="31"/>
      <c r="D902" s="331"/>
      <c r="E902" s="331"/>
      <c r="F902" s="331"/>
      <c r="G902" s="595"/>
      <c r="I902" s="89"/>
    </row>
    <row r="903">
      <c r="A903" s="31"/>
      <c r="B903" s="446"/>
      <c r="C903" s="31"/>
      <c r="D903" s="331"/>
      <c r="E903" s="331"/>
      <c r="F903" s="331"/>
      <c r="G903" s="595"/>
      <c r="I903" s="89"/>
    </row>
    <row r="904">
      <c r="A904" s="31"/>
      <c r="B904" s="446"/>
      <c r="C904" s="31"/>
      <c r="D904" s="331"/>
      <c r="E904" s="331"/>
      <c r="F904" s="331"/>
      <c r="G904" s="595"/>
      <c r="I904" s="89"/>
    </row>
    <row r="905">
      <c r="A905" s="31"/>
      <c r="B905" s="446"/>
      <c r="C905" s="31"/>
      <c r="D905" s="331"/>
      <c r="E905" s="331"/>
      <c r="F905" s="331"/>
      <c r="G905" s="595"/>
      <c r="I905" s="89"/>
    </row>
    <row r="906">
      <c r="A906" s="31"/>
      <c r="B906" s="446"/>
      <c r="C906" s="31"/>
      <c r="D906" s="331"/>
      <c r="E906" s="331"/>
      <c r="F906" s="331"/>
      <c r="G906" s="595"/>
      <c r="I906" s="89"/>
    </row>
    <row r="907">
      <c r="A907" s="31"/>
      <c r="B907" s="446"/>
      <c r="C907" s="31"/>
      <c r="D907" s="331"/>
      <c r="E907" s="331"/>
      <c r="F907" s="331"/>
      <c r="G907" s="595"/>
      <c r="I907" s="89"/>
    </row>
    <row r="908">
      <c r="A908" s="31"/>
      <c r="B908" s="446"/>
      <c r="C908" s="31"/>
      <c r="D908" s="331"/>
      <c r="E908" s="331"/>
      <c r="F908" s="331"/>
      <c r="G908" s="595"/>
      <c r="I908" s="89"/>
    </row>
    <row r="909">
      <c r="A909" s="31"/>
      <c r="B909" s="446"/>
      <c r="C909" s="31"/>
      <c r="D909" s="331"/>
      <c r="E909" s="331"/>
      <c r="F909" s="331"/>
      <c r="G909" s="595"/>
      <c r="I909" s="89"/>
    </row>
    <row r="910">
      <c r="A910" s="31"/>
      <c r="B910" s="446"/>
      <c r="C910" s="31"/>
      <c r="D910" s="331"/>
      <c r="E910" s="331"/>
      <c r="F910" s="331"/>
      <c r="G910" s="595"/>
      <c r="I910" s="89"/>
    </row>
    <row r="911">
      <c r="A911" s="31"/>
      <c r="B911" s="446"/>
      <c r="C911" s="31"/>
      <c r="D911" s="331"/>
      <c r="E911" s="331"/>
      <c r="F911" s="331"/>
      <c r="G911" s="595"/>
      <c r="I911" s="89"/>
    </row>
    <row r="912">
      <c r="A912" s="31"/>
      <c r="B912" s="446"/>
      <c r="C912" s="31"/>
      <c r="D912" s="331"/>
      <c r="E912" s="331"/>
      <c r="F912" s="331"/>
      <c r="G912" s="595"/>
      <c r="I912" s="89"/>
    </row>
    <row r="913">
      <c r="A913" s="31"/>
      <c r="B913" s="446"/>
      <c r="C913" s="31"/>
      <c r="D913" s="331"/>
      <c r="E913" s="331"/>
      <c r="F913" s="331"/>
      <c r="G913" s="595"/>
      <c r="I913" s="89"/>
    </row>
    <row r="914">
      <c r="A914" s="31"/>
      <c r="B914" s="446"/>
      <c r="C914" s="31"/>
      <c r="D914" s="331"/>
      <c r="E914" s="331"/>
      <c r="F914" s="331"/>
      <c r="G914" s="595"/>
      <c r="I914" s="89"/>
    </row>
    <row r="915">
      <c r="A915" s="31"/>
      <c r="B915" s="446"/>
      <c r="C915" s="31"/>
      <c r="D915" s="331"/>
      <c r="E915" s="331"/>
      <c r="F915" s="331"/>
      <c r="G915" s="595"/>
      <c r="I915" s="89"/>
    </row>
    <row r="916">
      <c r="A916" s="31"/>
      <c r="B916" s="446"/>
      <c r="C916" s="31"/>
      <c r="D916" s="331"/>
      <c r="E916" s="331"/>
      <c r="F916" s="331"/>
      <c r="G916" s="595"/>
      <c r="I916" s="89"/>
    </row>
    <row r="917">
      <c r="A917" s="31"/>
      <c r="B917" s="446"/>
      <c r="C917" s="31"/>
      <c r="D917" s="331"/>
      <c r="E917" s="331"/>
      <c r="F917" s="331"/>
      <c r="G917" s="595"/>
      <c r="I917" s="89"/>
    </row>
    <row r="918">
      <c r="A918" s="31"/>
      <c r="B918" s="446"/>
      <c r="C918" s="31"/>
      <c r="D918" s="331"/>
      <c r="E918" s="331"/>
      <c r="F918" s="331"/>
      <c r="G918" s="595"/>
      <c r="I918" s="89"/>
    </row>
    <row r="919">
      <c r="A919" s="31"/>
      <c r="B919" s="446"/>
      <c r="C919" s="31"/>
      <c r="D919" s="331"/>
      <c r="E919" s="331"/>
      <c r="F919" s="331"/>
      <c r="G919" s="595"/>
      <c r="I919" s="89"/>
    </row>
    <row r="920">
      <c r="A920" s="31"/>
      <c r="B920" s="446"/>
      <c r="C920" s="31"/>
      <c r="D920" s="331"/>
      <c r="E920" s="331"/>
      <c r="F920" s="331"/>
      <c r="G920" s="595"/>
      <c r="I920" s="89"/>
    </row>
    <row r="921">
      <c r="A921" s="31"/>
      <c r="B921" s="446"/>
      <c r="C921" s="31"/>
      <c r="D921" s="331"/>
      <c r="E921" s="331"/>
      <c r="F921" s="331"/>
      <c r="G921" s="595"/>
      <c r="I921" s="89"/>
    </row>
    <row r="922">
      <c r="A922" s="31"/>
      <c r="B922" s="446"/>
      <c r="C922" s="31"/>
      <c r="D922" s="331"/>
      <c r="E922" s="331"/>
      <c r="F922" s="331"/>
      <c r="G922" s="595"/>
      <c r="I922" s="89"/>
    </row>
    <row r="923">
      <c r="A923" s="31"/>
      <c r="B923" s="446"/>
      <c r="C923" s="31"/>
      <c r="D923" s="331"/>
      <c r="E923" s="331"/>
      <c r="F923" s="331"/>
      <c r="G923" s="595"/>
      <c r="I923" s="89"/>
    </row>
    <row r="924">
      <c r="A924" s="31"/>
      <c r="B924" s="446"/>
      <c r="C924" s="31"/>
      <c r="D924" s="331"/>
      <c r="E924" s="331"/>
      <c r="F924" s="331"/>
      <c r="G924" s="595"/>
      <c r="I924" s="89"/>
    </row>
    <row r="925">
      <c r="A925" s="31"/>
      <c r="B925" s="446"/>
      <c r="C925" s="31"/>
      <c r="D925" s="331"/>
      <c r="E925" s="331"/>
      <c r="F925" s="331"/>
      <c r="G925" s="595"/>
      <c r="I925" s="89"/>
    </row>
    <row r="926">
      <c r="A926" s="31"/>
      <c r="B926" s="446"/>
      <c r="C926" s="31"/>
      <c r="D926" s="331"/>
      <c r="E926" s="331"/>
      <c r="F926" s="331"/>
      <c r="G926" s="595"/>
      <c r="I926" s="89"/>
    </row>
    <row r="927">
      <c r="A927" s="31"/>
      <c r="B927" s="446"/>
      <c r="C927" s="31"/>
      <c r="D927" s="331"/>
      <c r="E927" s="331"/>
      <c r="F927" s="331"/>
      <c r="G927" s="595"/>
      <c r="I927" s="89"/>
    </row>
    <row r="928">
      <c r="A928" s="31"/>
      <c r="B928" s="446"/>
      <c r="C928" s="31"/>
      <c r="D928" s="331"/>
      <c r="E928" s="331"/>
      <c r="F928" s="331"/>
      <c r="G928" s="595"/>
      <c r="I928" s="89"/>
    </row>
    <row r="929">
      <c r="A929" s="31"/>
      <c r="B929" s="446"/>
      <c r="C929" s="31"/>
      <c r="D929" s="331"/>
      <c r="E929" s="331"/>
      <c r="F929" s="331"/>
      <c r="G929" s="595"/>
      <c r="I929" s="89"/>
    </row>
    <row r="930">
      <c r="A930" s="31"/>
      <c r="B930" s="446"/>
      <c r="C930" s="31"/>
      <c r="D930" s="331"/>
      <c r="E930" s="331"/>
      <c r="F930" s="331"/>
      <c r="G930" s="595"/>
      <c r="I930" s="89"/>
    </row>
    <row r="931">
      <c r="A931" s="31"/>
      <c r="B931" s="446"/>
      <c r="C931" s="31"/>
      <c r="D931" s="331"/>
      <c r="E931" s="331"/>
      <c r="F931" s="331"/>
      <c r="G931" s="595"/>
      <c r="I931" s="89"/>
    </row>
    <row r="932">
      <c r="A932" s="31"/>
      <c r="B932" s="446"/>
      <c r="C932" s="31"/>
      <c r="D932" s="331"/>
      <c r="E932" s="331"/>
      <c r="F932" s="331"/>
      <c r="G932" s="595"/>
      <c r="I932" s="89"/>
    </row>
    <row r="933">
      <c r="A933" s="31"/>
      <c r="B933" s="446"/>
      <c r="C933" s="31"/>
      <c r="D933" s="331"/>
      <c r="E933" s="331"/>
      <c r="F933" s="331"/>
      <c r="G933" s="595"/>
      <c r="I933" s="89"/>
    </row>
    <row r="934">
      <c r="A934" s="31"/>
      <c r="B934" s="446"/>
      <c r="C934" s="31"/>
      <c r="D934" s="331"/>
      <c r="E934" s="331"/>
      <c r="F934" s="331"/>
      <c r="G934" s="595"/>
      <c r="I934" s="89"/>
    </row>
    <row r="935">
      <c r="A935" s="31"/>
      <c r="B935" s="446"/>
      <c r="C935" s="31"/>
      <c r="D935" s="331"/>
      <c r="E935" s="331"/>
      <c r="F935" s="331"/>
      <c r="G935" s="595"/>
      <c r="I935" s="89"/>
    </row>
    <row r="936">
      <c r="A936" s="31"/>
      <c r="B936" s="446"/>
      <c r="C936" s="31"/>
      <c r="D936" s="331"/>
      <c r="E936" s="331"/>
      <c r="F936" s="331"/>
      <c r="G936" s="595"/>
      <c r="I936" s="89"/>
    </row>
    <row r="937">
      <c r="A937" s="31"/>
      <c r="B937" s="446"/>
      <c r="C937" s="31"/>
      <c r="D937" s="331"/>
      <c r="E937" s="331"/>
      <c r="F937" s="331"/>
      <c r="G937" s="595"/>
      <c r="I937" s="89"/>
    </row>
    <row r="938">
      <c r="A938" s="31"/>
      <c r="B938" s="446"/>
      <c r="C938" s="31"/>
      <c r="D938" s="331"/>
      <c r="E938" s="331"/>
      <c r="F938" s="331"/>
      <c r="G938" s="595"/>
      <c r="I938" s="89"/>
    </row>
    <row r="939">
      <c r="A939" s="31"/>
      <c r="B939" s="446"/>
      <c r="C939" s="31"/>
      <c r="D939" s="331"/>
      <c r="E939" s="331"/>
      <c r="F939" s="331"/>
      <c r="G939" s="595"/>
      <c r="I939" s="89"/>
    </row>
    <row r="940">
      <c r="A940" s="31"/>
      <c r="B940" s="446"/>
      <c r="C940" s="31"/>
      <c r="D940" s="331"/>
      <c r="E940" s="331"/>
      <c r="F940" s="331"/>
      <c r="G940" s="595"/>
      <c r="I940" s="89"/>
    </row>
    <row r="941">
      <c r="A941" s="31"/>
      <c r="B941" s="446"/>
      <c r="C941" s="31"/>
      <c r="D941" s="331"/>
      <c r="E941" s="331"/>
      <c r="F941" s="331"/>
      <c r="G941" s="595"/>
      <c r="I941" s="89"/>
    </row>
    <row r="942">
      <c r="A942" s="31"/>
      <c r="B942" s="446"/>
      <c r="C942" s="31"/>
      <c r="D942" s="331"/>
      <c r="E942" s="331"/>
      <c r="F942" s="331"/>
      <c r="G942" s="595"/>
      <c r="I942" s="89"/>
    </row>
    <row r="943">
      <c r="A943" s="31"/>
      <c r="B943" s="446"/>
      <c r="C943" s="31"/>
      <c r="D943" s="331"/>
      <c r="E943" s="331"/>
      <c r="F943" s="331"/>
      <c r="G943" s="595"/>
      <c r="I943" s="89"/>
    </row>
    <row r="944">
      <c r="A944" s="31"/>
      <c r="B944" s="446"/>
      <c r="C944" s="31"/>
      <c r="D944" s="331"/>
      <c r="E944" s="331"/>
      <c r="F944" s="331"/>
      <c r="G944" s="595"/>
      <c r="I944" s="89"/>
    </row>
    <row r="945">
      <c r="A945" s="31"/>
      <c r="B945" s="446"/>
      <c r="C945" s="31"/>
      <c r="D945" s="331"/>
      <c r="E945" s="331"/>
      <c r="F945" s="331"/>
      <c r="G945" s="595"/>
      <c r="I945" s="89"/>
    </row>
    <row r="946">
      <c r="A946" s="31"/>
      <c r="B946" s="446"/>
      <c r="C946" s="31"/>
      <c r="D946" s="331"/>
      <c r="E946" s="331"/>
      <c r="F946" s="331"/>
      <c r="G946" s="595"/>
      <c r="I946" s="89"/>
    </row>
    <row r="947">
      <c r="A947" s="31"/>
      <c r="B947" s="446"/>
      <c r="C947" s="31"/>
      <c r="D947" s="331"/>
      <c r="E947" s="331"/>
      <c r="F947" s="331"/>
      <c r="G947" s="595"/>
      <c r="I947" s="89"/>
    </row>
    <row r="948">
      <c r="A948" s="31"/>
      <c r="B948" s="446"/>
      <c r="C948" s="31"/>
      <c r="D948" s="331"/>
      <c r="E948" s="331"/>
      <c r="F948" s="331"/>
      <c r="G948" s="595"/>
      <c r="I948" s="89"/>
    </row>
    <row r="949">
      <c r="A949" s="31"/>
      <c r="B949" s="446"/>
      <c r="C949" s="31"/>
      <c r="D949" s="331"/>
      <c r="E949" s="331"/>
      <c r="F949" s="331"/>
      <c r="G949" s="595"/>
      <c r="I949" s="89"/>
    </row>
    <row r="950">
      <c r="A950" s="31"/>
      <c r="B950" s="446"/>
      <c r="C950" s="31"/>
      <c r="D950" s="331"/>
      <c r="E950" s="331"/>
      <c r="F950" s="331"/>
      <c r="G950" s="595"/>
      <c r="I950" s="89"/>
    </row>
    <row r="951">
      <c r="A951" s="31"/>
      <c r="B951" s="446"/>
      <c r="C951" s="31"/>
      <c r="D951" s="331"/>
      <c r="E951" s="331"/>
      <c r="F951" s="331"/>
      <c r="G951" s="595"/>
      <c r="I951" s="89"/>
    </row>
    <row r="952">
      <c r="A952" s="31"/>
      <c r="B952" s="446"/>
      <c r="C952" s="31"/>
      <c r="D952" s="331"/>
      <c r="E952" s="331"/>
      <c r="F952" s="331"/>
      <c r="G952" s="595"/>
      <c r="I952" s="89"/>
    </row>
    <row r="953">
      <c r="A953" s="31"/>
      <c r="B953" s="446"/>
      <c r="C953" s="31"/>
      <c r="D953" s="331"/>
      <c r="E953" s="331"/>
      <c r="F953" s="331"/>
      <c r="G953" s="595"/>
      <c r="I953" s="89"/>
    </row>
    <row r="954">
      <c r="A954" s="31"/>
      <c r="B954" s="446"/>
      <c r="C954" s="31"/>
      <c r="D954" s="331"/>
      <c r="E954" s="331"/>
      <c r="F954" s="331"/>
      <c r="G954" s="595"/>
      <c r="I954" s="89"/>
    </row>
    <row r="955">
      <c r="A955" s="31"/>
      <c r="B955" s="446"/>
      <c r="C955" s="31"/>
      <c r="D955" s="331"/>
      <c r="E955" s="331"/>
      <c r="F955" s="331"/>
      <c r="G955" s="595"/>
      <c r="I955" s="89"/>
    </row>
    <row r="956">
      <c r="A956" s="31"/>
      <c r="B956" s="446"/>
      <c r="C956" s="31"/>
      <c r="D956" s="331"/>
      <c r="E956" s="331"/>
      <c r="F956" s="331"/>
      <c r="G956" s="595"/>
      <c r="I956" s="89"/>
    </row>
    <row r="957">
      <c r="A957" s="31"/>
      <c r="B957" s="446"/>
      <c r="C957" s="31"/>
      <c r="D957" s="331"/>
      <c r="E957" s="331"/>
      <c r="F957" s="331"/>
      <c r="G957" s="595"/>
      <c r="I957" s="89"/>
    </row>
    <row r="958">
      <c r="A958" s="31"/>
      <c r="B958" s="446"/>
      <c r="C958" s="31"/>
      <c r="D958" s="331"/>
      <c r="E958" s="331"/>
      <c r="F958" s="331"/>
      <c r="G958" s="595"/>
      <c r="I958" s="89"/>
    </row>
    <row r="959">
      <c r="A959" s="31"/>
      <c r="B959" s="446"/>
      <c r="C959" s="31"/>
      <c r="D959" s="331"/>
      <c r="E959" s="331"/>
      <c r="F959" s="331"/>
      <c r="G959" s="595"/>
      <c r="I959" s="89"/>
    </row>
    <row r="960">
      <c r="A960" s="31"/>
      <c r="B960" s="446"/>
      <c r="C960" s="31"/>
      <c r="D960" s="331"/>
      <c r="E960" s="331"/>
      <c r="F960" s="331"/>
      <c r="G960" s="595"/>
      <c r="I960" s="89"/>
    </row>
    <row r="961">
      <c r="A961" s="31"/>
      <c r="B961" s="446"/>
      <c r="C961" s="31"/>
      <c r="D961" s="331"/>
      <c r="E961" s="331"/>
      <c r="F961" s="331"/>
      <c r="G961" s="595"/>
      <c r="I961" s="89"/>
    </row>
    <row r="962">
      <c r="A962" s="31"/>
      <c r="B962" s="446"/>
      <c r="C962" s="31"/>
      <c r="D962" s="331"/>
      <c r="E962" s="331"/>
      <c r="F962" s="331"/>
      <c r="G962" s="595"/>
      <c r="I962" s="89"/>
    </row>
    <row r="963">
      <c r="A963" s="31"/>
      <c r="B963" s="446"/>
      <c r="C963" s="31"/>
      <c r="D963" s="331"/>
      <c r="E963" s="331"/>
      <c r="F963" s="331"/>
      <c r="G963" s="595"/>
      <c r="I963" s="89"/>
    </row>
    <row r="964">
      <c r="A964" s="31"/>
      <c r="B964" s="446"/>
      <c r="C964" s="31"/>
      <c r="D964" s="331"/>
      <c r="E964" s="331"/>
      <c r="F964" s="331"/>
      <c r="G964" s="595"/>
      <c r="I964" s="89"/>
    </row>
    <row r="965">
      <c r="A965" s="31"/>
      <c r="B965" s="446"/>
      <c r="C965" s="31"/>
      <c r="D965" s="331"/>
      <c r="E965" s="331"/>
      <c r="F965" s="331"/>
      <c r="G965" s="595"/>
      <c r="I965" s="89"/>
    </row>
    <row r="966">
      <c r="A966" s="31"/>
      <c r="B966" s="446"/>
      <c r="C966" s="31"/>
      <c r="D966" s="331"/>
      <c r="E966" s="331"/>
      <c r="F966" s="331"/>
      <c r="G966" s="595"/>
      <c r="I966" s="89"/>
    </row>
    <row r="967">
      <c r="A967" s="31"/>
      <c r="B967" s="446"/>
      <c r="C967" s="31"/>
      <c r="D967" s="331"/>
      <c r="E967" s="331"/>
      <c r="F967" s="331"/>
      <c r="G967" s="595"/>
      <c r="I967" s="89"/>
    </row>
    <row r="968">
      <c r="A968" s="31"/>
      <c r="B968" s="446"/>
      <c r="C968" s="31"/>
      <c r="D968" s="331"/>
      <c r="E968" s="331"/>
      <c r="F968" s="331"/>
      <c r="G968" s="595"/>
      <c r="I968" s="89"/>
    </row>
    <row r="969">
      <c r="A969" s="31"/>
      <c r="B969" s="446"/>
      <c r="C969" s="31"/>
      <c r="D969" s="331"/>
      <c r="E969" s="331"/>
      <c r="F969" s="331"/>
      <c r="G969" s="595"/>
      <c r="I969" s="89"/>
    </row>
    <row r="970">
      <c r="A970" s="31"/>
      <c r="B970" s="446"/>
      <c r="C970" s="31"/>
      <c r="D970" s="331"/>
      <c r="E970" s="331"/>
      <c r="F970" s="331"/>
      <c r="G970" s="595"/>
      <c r="I970" s="89"/>
    </row>
    <row r="971">
      <c r="A971" s="31"/>
      <c r="B971" s="446"/>
      <c r="C971" s="31"/>
      <c r="D971" s="331"/>
      <c r="E971" s="331"/>
      <c r="F971" s="331"/>
      <c r="G971" s="595"/>
      <c r="I971" s="89"/>
    </row>
    <row r="972">
      <c r="A972" s="31"/>
      <c r="B972" s="446"/>
      <c r="C972" s="31"/>
      <c r="D972" s="331"/>
      <c r="E972" s="331"/>
      <c r="F972" s="331"/>
      <c r="G972" s="595"/>
      <c r="I972" s="89"/>
    </row>
    <row r="973">
      <c r="A973" s="31"/>
      <c r="B973" s="446"/>
      <c r="C973" s="31"/>
      <c r="D973" s="331"/>
      <c r="E973" s="331"/>
      <c r="F973" s="331"/>
      <c r="G973" s="595"/>
      <c r="I973" s="89"/>
    </row>
    <row r="974">
      <c r="A974" s="31"/>
      <c r="B974" s="446"/>
      <c r="C974" s="31"/>
      <c r="D974" s="331"/>
      <c r="E974" s="331"/>
      <c r="F974" s="331"/>
      <c r="G974" s="595"/>
      <c r="I974" s="89"/>
    </row>
    <row r="975">
      <c r="A975" s="31"/>
      <c r="B975" s="446"/>
      <c r="C975" s="31"/>
      <c r="D975" s="331"/>
      <c r="E975" s="331"/>
      <c r="F975" s="331"/>
      <c r="G975" s="595"/>
      <c r="I975" s="89"/>
    </row>
    <row r="976">
      <c r="A976" s="31"/>
      <c r="B976" s="446"/>
      <c r="C976" s="31"/>
      <c r="D976" s="331"/>
      <c r="E976" s="331"/>
      <c r="F976" s="331"/>
      <c r="G976" s="595"/>
      <c r="I976" s="89"/>
    </row>
    <row r="977">
      <c r="A977" s="31"/>
      <c r="B977" s="446"/>
      <c r="C977" s="31"/>
      <c r="D977" s="331"/>
      <c r="E977" s="331"/>
      <c r="F977" s="331"/>
      <c r="G977" s="595"/>
      <c r="I977" s="89"/>
    </row>
    <row r="978">
      <c r="A978" s="31"/>
      <c r="B978" s="446"/>
      <c r="C978" s="31"/>
      <c r="D978" s="331"/>
      <c r="E978" s="331"/>
      <c r="F978" s="331"/>
      <c r="G978" s="595"/>
      <c r="I978" s="89"/>
    </row>
    <row r="979">
      <c r="A979" s="31"/>
      <c r="B979" s="446"/>
      <c r="C979" s="31"/>
      <c r="D979" s="331"/>
      <c r="E979" s="331"/>
      <c r="F979" s="331"/>
      <c r="G979" s="595"/>
      <c r="I979" s="89"/>
    </row>
    <row r="980">
      <c r="A980" s="31"/>
      <c r="B980" s="446"/>
      <c r="C980" s="31"/>
      <c r="D980" s="331"/>
      <c r="E980" s="331"/>
      <c r="F980" s="331"/>
      <c r="G980" s="595"/>
      <c r="I980" s="89"/>
    </row>
    <row r="981">
      <c r="A981" s="31"/>
      <c r="B981" s="446"/>
      <c r="C981" s="31"/>
      <c r="D981" s="331"/>
      <c r="E981" s="331"/>
      <c r="F981" s="331"/>
      <c r="G981" s="595"/>
      <c r="I981" s="89"/>
    </row>
    <row r="982">
      <c r="A982" s="31"/>
      <c r="B982" s="446"/>
      <c r="C982" s="31"/>
      <c r="D982" s="331"/>
      <c r="E982" s="331"/>
      <c r="F982" s="331"/>
      <c r="G982" s="595"/>
      <c r="I982" s="89"/>
    </row>
    <row r="983">
      <c r="A983" s="31"/>
      <c r="B983" s="446"/>
      <c r="C983" s="31"/>
      <c r="D983" s="331"/>
      <c r="E983" s="331"/>
      <c r="F983" s="331"/>
      <c r="G983" s="595"/>
      <c r="I983" s="89"/>
    </row>
    <row r="984">
      <c r="A984" s="31"/>
      <c r="B984" s="446"/>
      <c r="C984" s="31"/>
      <c r="D984" s="331"/>
      <c r="E984" s="331"/>
      <c r="F984" s="331"/>
      <c r="G984" s="595"/>
      <c r="I984" s="89"/>
    </row>
    <row r="985">
      <c r="A985" s="31"/>
      <c r="B985" s="446"/>
      <c r="C985" s="31"/>
      <c r="D985" s="331"/>
      <c r="E985" s="331"/>
      <c r="F985" s="331"/>
      <c r="G985" s="595"/>
      <c r="I985" s="89"/>
    </row>
    <row r="986">
      <c r="A986" s="31"/>
      <c r="B986" s="446"/>
      <c r="C986" s="31"/>
      <c r="D986" s="331"/>
      <c r="E986" s="331"/>
      <c r="F986" s="331"/>
      <c r="G986" s="595"/>
      <c r="I986" s="89"/>
    </row>
    <row r="987">
      <c r="A987" s="31"/>
      <c r="B987" s="446"/>
      <c r="C987" s="31"/>
      <c r="D987" s="331"/>
      <c r="E987" s="331"/>
      <c r="F987" s="331"/>
      <c r="G987" s="595"/>
      <c r="I987" s="89"/>
    </row>
    <row r="988">
      <c r="A988" s="31"/>
      <c r="B988" s="446"/>
      <c r="C988" s="31"/>
      <c r="D988" s="331"/>
      <c r="E988" s="331"/>
      <c r="F988" s="331"/>
      <c r="G988" s="595"/>
      <c r="I988" s="89"/>
    </row>
    <row r="989">
      <c r="A989" s="31"/>
      <c r="B989" s="446"/>
      <c r="C989" s="31"/>
      <c r="D989" s="331"/>
      <c r="E989" s="331"/>
      <c r="F989" s="331"/>
      <c r="G989" s="595"/>
      <c r="I989" s="89"/>
    </row>
    <row r="990">
      <c r="A990" s="31"/>
      <c r="B990" s="446"/>
      <c r="C990" s="31"/>
      <c r="D990" s="331"/>
      <c r="E990" s="331"/>
      <c r="F990" s="331"/>
      <c r="G990" s="595"/>
      <c r="I990" s="89"/>
    </row>
    <row r="991">
      <c r="A991" s="31"/>
      <c r="B991" s="446"/>
      <c r="C991" s="31"/>
      <c r="D991" s="331"/>
      <c r="E991" s="331"/>
      <c r="F991" s="331"/>
      <c r="G991" s="595"/>
      <c r="I991" s="89"/>
    </row>
    <row r="992">
      <c r="A992" s="31"/>
      <c r="B992" s="446"/>
      <c r="C992" s="31"/>
      <c r="D992" s="331"/>
      <c r="E992" s="331"/>
      <c r="F992" s="331"/>
      <c r="G992" s="595"/>
      <c r="I992" s="89"/>
    </row>
    <row r="993">
      <c r="A993" s="31"/>
      <c r="B993" s="446"/>
      <c r="C993" s="31"/>
      <c r="D993" s="331"/>
      <c r="E993" s="331"/>
      <c r="F993" s="331"/>
      <c r="G993" s="595"/>
      <c r="I993" s="89"/>
    </row>
    <row r="994">
      <c r="A994" s="31"/>
      <c r="B994" s="446"/>
      <c r="C994" s="31"/>
      <c r="D994" s="331"/>
      <c r="E994" s="331"/>
      <c r="F994" s="331"/>
      <c r="G994" s="595"/>
      <c r="I994" s="89"/>
    </row>
    <row r="995">
      <c r="A995" s="31"/>
      <c r="B995" s="446"/>
      <c r="C995" s="31"/>
      <c r="D995" s="331"/>
      <c r="E995" s="331"/>
      <c r="F995" s="331"/>
      <c r="G995" s="595"/>
      <c r="I995" s="89"/>
    </row>
    <row r="996">
      <c r="A996" s="31"/>
      <c r="B996" s="446"/>
      <c r="C996" s="31"/>
      <c r="D996" s="331"/>
      <c r="E996" s="331"/>
      <c r="F996" s="331"/>
      <c r="G996" s="595"/>
      <c r="I996" s="89"/>
    </row>
    <row r="997">
      <c r="A997" s="31"/>
      <c r="B997" s="446"/>
      <c r="C997" s="31"/>
      <c r="D997" s="331"/>
      <c r="E997" s="331"/>
      <c r="F997" s="331"/>
      <c r="G997" s="595"/>
      <c r="I997" s="89"/>
    </row>
    <row r="998">
      <c r="A998" s="31"/>
      <c r="B998" s="446"/>
      <c r="C998" s="31"/>
      <c r="D998" s="331"/>
      <c r="E998" s="331"/>
      <c r="F998" s="331"/>
      <c r="G998" s="595"/>
      <c r="I998" s="89"/>
    </row>
    <row r="999">
      <c r="A999" s="31"/>
      <c r="B999" s="446"/>
      <c r="C999" s="31"/>
      <c r="D999" s="331"/>
      <c r="E999" s="331"/>
      <c r="F999" s="331"/>
      <c r="G999" s="595"/>
      <c r="I999" s="89"/>
    </row>
    <row r="1000">
      <c r="A1000" s="31"/>
      <c r="B1000" s="446"/>
      <c r="C1000" s="31"/>
      <c r="D1000" s="331"/>
      <c r="E1000" s="331"/>
      <c r="F1000" s="331"/>
      <c r="G1000" s="595"/>
      <c r="I1000" s="89"/>
    </row>
    <row r="1001">
      <c r="A1001" s="31"/>
      <c r="B1001" s="446"/>
      <c r="C1001" s="31"/>
      <c r="D1001" s="331"/>
      <c r="E1001" s="331"/>
      <c r="F1001" s="331"/>
      <c r="G1001" s="595"/>
      <c r="I1001" s="89"/>
    </row>
    <row r="1002">
      <c r="A1002" s="31"/>
      <c r="B1002" s="446"/>
      <c r="C1002" s="31"/>
      <c r="D1002" s="331"/>
      <c r="E1002" s="331"/>
      <c r="F1002" s="331"/>
      <c r="G1002" s="595"/>
      <c r="I1002" s="89"/>
    </row>
    <row r="1003">
      <c r="A1003" s="31"/>
      <c r="B1003" s="446"/>
      <c r="C1003" s="31"/>
      <c r="D1003" s="331"/>
      <c r="E1003" s="331"/>
      <c r="F1003" s="331"/>
      <c r="G1003" s="595"/>
      <c r="I1003" s="89"/>
    </row>
    <row r="1004">
      <c r="A1004" s="31"/>
      <c r="B1004" s="446"/>
      <c r="C1004" s="31"/>
      <c r="D1004" s="331"/>
      <c r="E1004" s="331"/>
      <c r="F1004" s="331"/>
      <c r="G1004" s="595"/>
      <c r="I1004" s="89"/>
    </row>
    <row r="1005">
      <c r="A1005" s="31"/>
      <c r="B1005" s="446"/>
      <c r="C1005" s="31"/>
      <c r="D1005" s="331"/>
      <c r="E1005" s="331"/>
      <c r="F1005" s="331"/>
      <c r="G1005" s="595"/>
      <c r="I1005" s="89"/>
    </row>
    <row r="1006">
      <c r="A1006" s="31"/>
      <c r="B1006" s="446"/>
      <c r="C1006" s="31"/>
      <c r="D1006" s="331"/>
      <c r="E1006" s="331"/>
      <c r="F1006" s="331"/>
      <c r="G1006" s="595"/>
      <c r="I1006" s="89"/>
    </row>
    <row r="1007">
      <c r="A1007" s="31"/>
      <c r="B1007" s="446"/>
      <c r="C1007" s="31"/>
      <c r="D1007" s="331"/>
      <c r="E1007" s="331"/>
      <c r="F1007" s="331"/>
      <c r="G1007" s="595"/>
      <c r="I1007" s="89"/>
    </row>
    <row r="1008">
      <c r="A1008" s="31"/>
      <c r="B1008" s="446"/>
      <c r="C1008" s="31"/>
      <c r="D1008" s="331"/>
      <c r="E1008" s="331"/>
      <c r="F1008" s="331"/>
      <c r="G1008" s="595"/>
      <c r="I1008" s="89"/>
    </row>
    <row r="1009">
      <c r="A1009" s="31"/>
      <c r="B1009" s="446"/>
      <c r="C1009" s="31"/>
      <c r="D1009" s="331"/>
      <c r="E1009" s="331"/>
      <c r="F1009" s="331"/>
      <c r="G1009" s="595"/>
      <c r="I1009" s="89"/>
    </row>
    <row r="1010">
      <c r="A1010" s="31"/>
      <c r="B1010" s="446"/>
      <c r="C1010" s="31"/>
      <c r="D1010" s="331"/>
      <c r="E1010" s="331"/>
      <c r="F1010" s="331"/>
      <c r="G1010" s="595"/>
      <c r="I1010" s="89"/>
    </row>
    <row r="1011">
      <c r="A1011" s="31"/>
      <c r="B1011" s="446"/>
      <c r="C1011" s="31"/>
      <c r="D1011" s="331"/>
      <c r="E1011" s="331"/>
      <c r="F1011" s="331"/>
      <c r="G1011" s="595"/>
      <c r="I1011" s="89"/>
    </row>
    <row r="1012">
      <c r="A1012" s="31"/>
      <c r="B1012" s="446"/>
      <c r="C1012" s="31"/>
      <c r="D1012" s="331"/>
      <c r="E1012" s="331"/>
      <c r="F1012" s="331"/>
      <c r="G1012" s="595"/>
      <c r="I1012" s="89"/>
    </row>
    <row r="1013">
      <c r="A1013" s="31"/>
      <c r="B1013" s="446"/>
      <c r="C1013" s="31"/>
      <c r="D1013" s="331"/>
      <c r="E1013" s="331"/>
      <c r="F1013" s="331"/>
      <c r="G1013" s="595"/>
      <c r="I1013" s="89"/>
    </row>
    <row r="1014">
      <c r="A1014" s="31"/>
      <c r="B1014" s="446"/>
      <c r="C1014" s="31"/>
      <c r="D1014" s="331"/>
      <c r="E1014" s="331"/>
      <c r="F1014" s="331"/>
      <c r="G1014" s="595"/>
      <c r="I1014" s="89"/>
    </row>
    <row r="1015">
      <c r="A1015" s="31"/>
      <c r="B1015" s="446"/>
      <c r="C1015" s="31"/>
      <c r="D1015" s="331"/>
      <c r="E1015" s="331"/>
      <c r="F1015" s="331"/>
      <c r="G1015" s="595"/>
      <c r="I1015" s="89"/>
    </row>
    <row r="1016">
      <c r="A1016" s="31"/>
      <c r="B1016" s="446"/>
      <c r="C1016" s="31"/>
      <c r="D1016" s="331"/>
      <c r="E1016" s="331"/>
      <c r="F1016" s="331"/>
      <c r="G1016" s="595"/>
      <c r="I1016" s="89"/>
    </row>
    <row r="1017">
      <c r="A1017" s="31"/>
      <c r="B1017" s="446"/>
      <c r="C1017" s="31"/>
      <c r="D1017" s="331"/>
      <c r="E1017" s="331"/>
      <c r="F1017" s="331"/>
      <c r="G1017" s="595"/>
      <c r="I1017" s="89"/>
    </row>
    <row r="1018">
      <c r="A1018" s="31"/>
      <c r="B1018" s="446"/>
      <c r="C1018" s="31"/>
      <c r="D1018" s="331"/>
      <c r="E1018" s="331"/>
      <c r="F1018" s="331"/>
      <c r="G1018" s="595"/>
      <c r="I1018" s="89"/>
    </row>
    <row r="1019">
      <c r="A1019" s="31"/>
      <c r="B1019" s="446"/>
      <c r="C1019" s="31"/>
      <c r="D1019" s="331"/>
      <c r="E1019" s="331"/>
      <c r="F1019" s="331"/>
      <c r="G1019" s="595"/>
      <c r="I1019" s="89"/>
    </row>
    <row r="1020">
      <c r="A1020" s="31"/>
      <c r="B1020" s="446"/>
      <c r="C1020" s="31"/>
      <c r="D1020" s="331"/>
      <c r="E1020" s="331"/>
      <c r="F1020" s="331"/>
      <c r="G1020" s="595"/>
      <c r="I1020" s="89"/>
    </row>
    <row r="1021">
      <c r="A1021" s="31"/>
      <c r="B1021" s="446"/>
      <c r="C1021" s="31"/>
      <c r="D1021" s="331"/>
      <c r="E1021" s="331"/>
      <c r="F1021" s="331"/>
      <c r="G1021" s="595"/>
      <c r="I1021" s="89"/>
    </row>
    <row r="1022">
      <c r="A1022" s="31"/>
      <c r="B1022" s="446"/>
      <c r="C1022" s="31"/>
      <c r="D1022" s="331"/>
      <c r="E1022" s="331"/>
      <c r="F1022" s="331"/>
      <c r="G1022" s="595"/>
      <c r="I1022" s="89"/>
    </row>
    <row r="1023">
      <c r="A1023" s="31"/>
      <c r="B1023" s="446"/>
      <c r="C1023" s="31"/>
      <c r="D1023" s="331"/>
      <c r="E1023" s="331"/>
      <c r="F1023" s="331"/>
      <c r="G1023" s="595"/>
      <c r="I1023" s="89"/>
    </row>
    <row r="1024">
      <c r="A1024" s="31"/>
      <c r="B1024" s="446"/>
      <c r="C1024" s="31"/>
      <c r="D1024" s="331"/>
      <c r="E1024" s="331"/>
      <c r="F1024" s="331"/>
      <c r="G1024" s="595"/>
      <c r="I1024" s="89"/>
    </row>
    <row r="1025">
      <c r="A1025" s="31"/>
      <c r="B1025" s="446"/>
      <c r="C1025" s="31"/>
      <c r="D1025" s="331"/>
      <c r="E1025" s="331"/>
      <c r="F1025" s="331"/>
      <c r="G1025" s="595"/>
      <c r="I1025" s="89"/>
    </row>
    <row r="1026">
      <c r="A1026" s="31"/>
      <c r="B1026" s="446"/>
      <c r="C1026" s="31"/>
      <c r="D1026" s="331"/>
      <c r="E1026" s="331"/>
      <c r="F1026" s="331"/>
      <c r="G1026" s="595"/>
      <c r="I1026" s="89"/>
    </row>
    <row r="1027">
      <c r="A1027" s="31"/>
      <c r="B1027" s="446"/>
      <c r="C1027" s="31"/>
      <c r="D1027" s="331"/>
      <c r="E1027" s="331"/>
      <c r="F1027" s="331"/>
      <c r="G1027" s="595"/>
      <c r="I1027" s="89"/>
    </row>
    <row r="1028">
      <c r="A1028" s="31"/>
      <c r="B1028" s="446"/>
      <c r="C1028" s="31"/>
      <c r="D1028" s="331"/>
      <c r="E1028" s="331"/>
      <c r="F1028" s="331"/>
      <c r="G1028" s="595"/>
      <c r="I1028" s="89"/>
    </row>
    <row r="1029">
      <c r="A1029" s="31"/>
      <c r="B1029" s="446"/>
      <c r="C1029" s="31"/>
      <c r="D1029" s="331"/>
      <c r="E1029" s="331"/>
      <c r="F1029" s="331"/>
      <c r="G1029" s="595"/>
      <c r="I1029" s="89"/>
    </row>
    <row r="1030">
      <c r="A1030" s="31"/>
      <c r="B1030" s="446"/>
      <c r="C1030" s="31"/>
      <c r="D1030" s="331"/>
      <c r="E1030" s="331"/>
      <c r="F1030" s="331"/>
      <c r="G1030" s="595"/>
      <c r="I1030" s="89"/>
    </row>
    <row r="1031">
      <c r="A1031" s="31"/>
      <c r="B1031" s="446"/>
      <c r="C1031" s="31"/>
      <c r="D1031" s="331"/>
      <c r="E1031" s="331"/>
      <c r="F1031" s="331"/>
      <c r="G1031" s="595"/>
      <c r="I1031" s="89"/>
    </row>
    <row r="1032">
      <c r="A1032" s="31"/>
      <c r="B1032" s="446"/>
      <c r="C1032" s="31"/>
      <c r="D1032" s="331"/>
      <c r="E1032" s="331"/>
      <c r="F1032" s="331"/>
      <c r="G1032" s="595"/>
      <c r="I1032" s="89"/>
    </row>
    <row r="1033">
      <c r="A1033" s="31"/>
      <c r="B1033" s="446"/>
      <c r="C1033" s="31"/>
      <c r="D1033" s="331"/>
      <c r="E1033" s="331"/>
      <c r="F1033" s="331"/>
      <c r="G1033" s="595"/>
      <c r="I1033" s="89"/>
    </row>
    <row r="1034">
      <c r="A1034" s="31"/>
      <c r="B1034" s="446"/>
      <c r="C1034" s="31"/>
      <c r="D1034" s="331"/>
      <c r="E1034" s="331"/>
      <c r="F1034" s="331"/>
      <c r="G1034" s="595"/>
      <c r="I1034" s="89"/>
    </row>
    <row r="1035">
      <c r="A1035" s="31"/>
      <c r="B1035" s="446"/>
      <c r="C1035" s="31"/>
      <c r="D1035" s="331"/>
      <c r="E1035" s="331"/>
      <c r="F1035" s="331"/>
      <c r="G1035" s="595"/>
      <c r="I1035" s="89"/>
    </row>
    <row r="1036">
      <c r="A1036" s="31"/>
      <c r="B1036" s="446"/>
      <c r="C1036" s="31"/>
      <c r="D1036" s="331"/>
      <c r="E1036" s="331"/>
      <c r="F1036" s="331"/>
      <c r="G1036" s="595"/>
      <c r="I1036" s="89"/>
    </row>
    <row r="1037">
      <c r="A1037" s="31"/>
      <c r="B1037" s="446"/>
      <c r="C1037" s="31"/>
      <c r="D1037" s="331"/>
      <c r="E1037" s="331"/>
      <c r="F1037" s="331"/>
      <c r="G1037" s="595"/>
      <c r="I1037" s="89"/>
    </row>
    <row r="1038">
      <c r="A1038" s="31"/>
      <c r="B1038" s="446"/>
      <c r="C1038" s="31"/>
      <c r="D1038" s="331"/>
      <c r="E1038" s="331"/>
      <c r="F1038" s="331"/>
      <c r="G1038" s="595"/>
      <c r="I1038" s="89"/>
    </row>
    <row r="1039">
      <c r="A1039" s="31"/>
      <c r="B1039" s="446"/>
      <c r="C1039" s="31"/>
      <c r="D1039" s="331"/>
      <c r="E1039" s="331"/>
      <c r="F1039" s="331"/>
      <c r="G1039" s="595"/>
      <c r="I1039" s="89"/>
    </row>
    <row r="1040">
      <c r="A1040" s="31"/>
      <c r="B1040" s="446"/>
      <c r="C1040" s="31"/>
      <c r="D1040" s="331"/>
      <c r="E1040" s="331"/>
      <c r="F1040" s="331"/>
      <c r="G1040" s="595"/>
      <c r="I1040" s="89"/>
    </row>
    <row r="1041">
      <c r="A1041" s="31"/>
      <c r="B1041" s="446"/>
      <c r="C1041" s="31"/>
      <c r="D1041" s="331"/>
      <c r="E1041" s="331"/>
      <c r="F1041" s="331"/>
      <c r="G1041" s="595"/>
      <c r="I1041" s="89"/>
    </row>
    <row r="1042">
      <c r="A1042" s="31"/>
      <c r="B1042" s="446"/>
      <c r="C1042" s="31"/>
      <c r="D1042" s="331"/>
      <c r="E1042" s="331"/>
      <c r="F1042" s="331"/>
      <c r="G1042" s="595"/>
      <c r="I1042" s="89"/>
    </row>
    <row r="1043">
      <c r="A1043" s="31"/>
      <c r="B1043" s="446"/>
      <c r="C1043" s="31"/>
      <c r="D1043" s="331"/>
      <c r="E1043" s="331"/>
      <c r="F1043" s="331"/>
      <c r="G1043" s="595"/>
      <c r="I1043" s="89"/>
    </row>
    <row r="1044">
      <c r="A1044" s="31"/>
      <c r="B1044" s="446"/>
      <c r="C1044" s="31"/>
      <c r="D1044" s="331"/>
      <c r="E1044" s="331"/>
      <c r="F1044" s="331"/>
      <c r="G1044" s="595"/>
      <c r="I1044" s="89"/>
    </row>
    <row r="1045">
      <c r="A1045" s="31"/>
      <c r="B1045" s="446"/>
      <c r="C1045" s="31"/>
      <c r="D1045" s="331"/>
      <c r="E1045" s="331"/>
      <c r="F1045" s="331"/>
      <c r="G1045" s="595"/>
      <c r="I1045" s="89"/>
    </row>
    <row r="1046">
      <c r="A1046" s="31"/>
      <c r="B1046" s="446"/>
      <c r="C1046" s="31"/>
      <c r="D1046" s="331"/>
      <c r="E1046" s="331"/>
      <c r="F1046" s="331"/>
      <c r="G1046" s="595"/>
      <c r="I1046" s="89"/>
    </row>
    <row r="1047">
      <c r="A1047" s="31"/>
      <c r="B1047" s="446"/>
      <c r="C1047" s="31"/>
      <c r="D1047" s="331"/>
      <c r="E1047" s="331"/>
      <c r="F1047" s="331"/>
      <c r="G1047" s="595"/>
      <c r="I1047" s="89"/>
    </row>
    <row r="1048">
      <c r="A1048" s="31"/>
      <c r="B1048" s="446"/>
      <c r="C1048" s="31"/>
      <c r="D1048" s="331"/>
      <c r="E1048" s="331"/>
      <c r="F1048" s="331"/>
      <c r="G1048" s="595"/>
      <c r="I1048" s="89"/>
    </row>
    <row r="1049">
      <c r="A1049" s="31"/>
      <c r="B1049" s="446"/>
      <c r="C1049" s="31"/>
      <c r="D1049" s="331"/>
      <c r="E1049" s="331"/>
      <c r="F1049" s="331"/>
      <c r="G1049" s="595"/>
      <c r="I1049" s="89"/>
    </row>
    <row r="1050">
      <c r="A1050" s="31"/>
      <c r="B1050" s="446"/>
      <c r="C1050" s="31"/>
      <c r="D1050" s="331"/>
      <c r="E1050" s="331"/>
      <c r="F1050" s="331"/>
      <c r="G1050" s="595"/>
      <c r="I1050" s="89"/>
    </row>
  </sheetData>
  <mergeCells count="19">
    <mergeCell ref="B5:C5"/>
    <mergeCell ref="B6:C6"/>
    <mergeCell ref="B56:C56"/>
    <mergeCell ref="B57:C57"/>
    <mergeCell ref="B58:C58"/>
    <mergeCell ref="B94:C94"/>
    <mergeCell ref="B95:C95"/>
    <mergeCell ref="B204:C204"/>
    <mergeCell ref="B205:C205"/>
    <mergeCell ref="B221:C221"/>
    <mergeCell ref="B222:C222"/>
    <mergeCell ref="B223:C223"/>
    <mergeCell ref="B96:C96"/>
    <mergeCell ref="B143:C143"/>
    <mergeCell ref="B144:C144"/>
    <mergeCell ref="B179:C179"/>
    <mergeCell ref="B180:C180"/>
    <mergeCell ref="B181:C181"/>
    <mergeCell ref="B203:C20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75"/>
  </cols>
  <sheetData>
    <row r="3">
      <c r="B3" s="650" t="s">
        <v>1576</v>
      </c>
      <c r="D3" s="653">
        <f>F16/50000</f>
        <v>35.8</v>
      </c>
      <c r="E3" s="655" t="s">
        <v>1578</v>
      </c>
      <c r="F3" s="602"/>
    </row>
    <row r="4">
      <c r="B4" s="602"/>
      <c r="C4" s="602"/>
      <c r="D4" s="602"/>
      <c r="E4" s="602"/>
      <c r="F4" s="602"/>
    </row>
    <row r="5" ht="22.5" customHeight="1">
      <c r="B5" s="661" t="s">
        <v>1584</v>
      </c>
      <c r="C5" s="661" t="s">
        <v>1585</v>
      </c>
      <c r="D5" s="661" t="s">
        <v>14</v>
      </c>
      <c r="E5" s="661" t="s">
        <v>1590</v>
      </c>
      <c r="F5" s="661" t="s">
        <v>1591</v>
      </c>
    </row>
    <row r="6" ht="22.5" customHeight="1">
      <c r="B6" s="664"/>
      <c r="C6" s="665"/>
      <c r="D6" s="668"/>
      <c r="E6" s="671">
        <v>3024000.0</v>
      </c>
      <c r="F6" s="674"/>
    </row>
    <row r="7" ht="22.5" customHeight="1">
      <c r="B7" s="676">
        <v>46044.0</v>
      </c>
      <c r="C7" s="677" t="s">
        <v>1605</v>
      </c>
      <c r="D7" s="678">
        <v>84000.0</v>
      </c>
      <c r="E7" s="680"/>
      <c r="F7" s="682">
        <f>E6-D7</f>
        <v>2940000</v>
      </c>
    </row>
    <row r="8" ht="22.5" customHeight="1">
      <c r="B8" s="683">
        <v>46065.0</v>
      </c>
      <c r="C8" s="685" t="s">
        <v>1619</v>
      </c>
      <c r="D8" s="686">
        <v>100000.0</v>
      </c>
      <c r="E8" s="680"/>
      <c r="F8" s="693">
        <f t="shared" ref="F8:F16" si="1">F7-D8</f>
        <v>2840000</v>
      </c>
    </row>
    <row r="9" ht="22.5" customHeight="1">
      <c r="B9" s="683">
        <v>46086.0</v>
      </c>
      <c r="C9" s="685" t="s">
        <v>1626</v>
      </c>
      <c r="D9" s="686">
        <v>100000.0</v>
      </c>
      <c r="E9" s="680"/>
      <c r="F9" s="693">
        <f t="shared" si="1"/>
        <v>2740000</v>
      </c>
    </row>
    <row r="10" ht="22.5" customHeight="1">
      <c r="B10" s="683">
        <v>46097.0</v>
      </c>
      <c r="C10" s="695" t="s">
        <v>1632</v>
      </c>
      <c r="D10" s="686">
        <v>100000.0</v>
      </c>
      <c r="E10" s="680"/>
      <c r="F10" s="693">
        <f t="shared" si="1"/>
        <v>2640000</v>
      </c>
    </row>
    <row r="11" ht="22.5" customHeight="1">
      <c r="B11" s="683">
        <v>46099.0</v>
      </c>
      <c r="C11" s="695" t="s">
        <v>1644</v>
      </c>
      <c r="D11" s="686">
        <v>50000.0</v>
      </c>
      <c r="E11" s="680"/>
      <c r="F11" s="693">
        <f t="shared" si="1"/>
        <v>2590000</v>
      </c>
    </row>
    <row r="12" ht="22.5" customHeight="1">
      <c r="B12" s="683">
        <v>46099.0</v>
      </c>
      <c r="C12" s="695" t="s">
        <v>1650</v>
      </c>
      <c r="D12" s="686">
        <v>100000.0</v>
      </c>
      <c r="E12" s="680"/>
      <c r="F12" s="693">
        <f t="shared" si="1"/>
        <v>2490000</v>
      </c>
    </row>
    <row r="13" ht="22.5" customHeight="1">
      <c r="B13" s="708">
        <v>46106.0</v>
      </c>
      <c r="C13" s="695" t="s">
        <v>1652</v>
      </c>
      <c r="D13" s="686">
        <v>450000.0</v>
      </c>
      <c r="E13" s="680"/>
      <c r="F13" s="693">
        <f t="shared" si="1"/>
        <v>2040000</v>
      </c>
    </row>
    <row r="14" ht="22.5" customHeight="1">
      <c r="B14" s="683">
        <v>46121.0</v>
      </c>
      <c r="C14" s="695" t="s">
        <v>1658</v>
      </c>
      <c r="D14" s="686">
        <v>50000.0</v>
      </c>
      <c r="E14" s="680"/>
      <c r="F14" s="693">
        <f t="shared" si="1"/>
        <v>1990000</v>
      </c>
    </row>
    <row r="15" ht="22.5" customHeight="1">
      <c r="B15" s="683">
        <v>46157.0</v>
      </c>
      <c r="C15" s="695" t="s">
        <v>1661</v>
      </c>
      <c r="D15" s="686">
        <v>100000.0</v>
      </c>
      <c r="E15" s="680"/>
      <c r="F15" s="693">
        <f t="shared" si="1"/>
        <v>1890000</v>
      </c>
    </row>
    <row r="16" ht="22.5" customHeight="1">
      <c r="B16" s="683">
        <v>46164.0</v>
      </c>
      <c r="C16" s="712" t="s">
        <v>1668</v>
      </c>
      <c r="D16" s="686">
        <v>100000.0</v>
      </c>
      <c r="E16" s="716"/>
      <c r="F16" s="693">
        <f t="shared" si="1"/>
        <v>1790000</v>
      </c>
    </row>
  </sheetData>
  <mergeCells count="1">
    <mergeCell ref="B3:C3"/>
  </mergeCells>
  <dataValidations>
    <dataValidation type="custom" allowBlank="1" showDropDown="1" sqref="D6:D16 F6:F16">
      <formula1>AND(ISNUMBER(D6),(NOT(OR(NOT(ISERROR(DATEVALUE(D6))), AND(ISNUMBER(D6), LEFT(CELL("format", D6))="D")))))</formula1>
    </dataValidation>
  </dataValidations>
  <drawing r:id="rId1"/>
  <tableParts count="1">
    <tablePart r:id="rId3"/>
  </tableParts>
</worksheet>
</file>